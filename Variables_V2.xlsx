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239" documentId="11_7E4E55BF84DCCEE3ED7FF6F99031F45BFA722949" xr6:coauthVersionLast="47" xr6:coauthVersionMax="47" xr10:uidLastSave="{45F5F4BF-19A0-4793-8545-0090ACA00AAE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<sst xmlns="http://schemas.openxmlformats.org/spreadsheetml/2006/main" count="32" uniqueCount="31">
  <si>
    <t xml:space="preserve">Inicio / Oferta y Generación / Generación / Generación Real del SIN / Descargar los datos de combustible fósil, hidráulica, biomasa, eólica y solar. Se agregan todas las fuentes para obtener la generación total) </t>
  </si>
  <si>
    <t>Inicio / Oferta y Generación / Disponibilidad / Disponibilidad real / Descargar datos de Disponibilidad real promedio</t>
  </si>
  <si>
    <t>Inicio / Hidrología / Reservas / Reservas Hídricas del SIN</t>
  </si>
  <si>
    <t xml:space="preserve">Inicio / Demandas y Fronteras/Demanda Comercial, Real y Pérdidas de Energía </t>
  </si>
  <si>
    <t>Banco de la República / Estadísticas / Sector externo, tasas de cambio y derivados / 2. Tasas de cambio / Tasa Representativa del Mercado (TRM - Peso por dólar) / Serie histórica mensual promedio y fin de mes (desde 27/11/1991)</t>
  </si>
  <si>
    <t>Home / Research and publications / Commodity Markets Outlook / Descargar monthly prices (XLS)</t>
  </si>
  <si>
    <t>Inicio / Transacciones y Precio / Precio de Oferta por combustible</t>
  </si>
  <si>
    <t>https://sinergox.xm.com.co/oferta/Paginas/Informes/GeneracionSIN.aspx</t>
  </si>
  <si>
    <t>https://sinergox.xm.com.co/oferta/Paginas/Informes/DisponibilidadReal.aspx</t>
  </si>
  <si>
    <t xml:space="preserve">https://sinergox.xm.com.co/hdrlg/Paginas/Informes/ReservasHidricasSIN.aspx </t>
  </si>
  <si>
    <t xml:space="preserve">https://sinergox.xm.com.co/dmnd/Paginas/Informes/DemandaRealPerdidas.aspx					</t>
  </si>
  <si>
    <t>https://suameca.banrep.gov.co/estadisticas-economicas/reporte-oac.html?path=%2FEstadisticas_Banco_de_la_Republica%2F4_Sector_Externo_tasas_de_cambio_y_derivados%2F1_Tasas_de_cambio%2F1_Tasa_de_cambio_del_peso_colombiano_por_USD(TRM)%2F1_Tasa_de_Cambio_USD_COP%2F5_Serie_historica_TRM_mensual_promedio_fin</t>
  </si>
  <si>
    <t>https://www.worldbank.org/en/research/commodity-markets</t>
  </si>
  <si>
    <t>https://sinergox.xm.com.co/trpr/Paginas/Informes/PrecioOfertaCombustible.aspx</t>
  </si>
  <si>
    <t>https://www.cpc.ncep.noaa.gov/data/indices/oni.ascii.txt</t>
  </si>
  <si>
    <t>Fecha</t>
  </si>
  <si>
    <t>Generación real hidráulica (GWh)</t>
  </si>
  <si>
    <t>Generación real combustible fósil (GWh)</t>
  </si>
  <si>
    <t>Disponibilidad hidráulica</t>
  </si>
  <si>
    <t>Disponibilidad térmica</t>
  </si>
  <si>
    <t>Reserva hídricas</t>
  </si>
  <si>
    <t>Capacidad Útil Energía [GWh]</t>
  </si>
  <si>
    <t>Volumen Útil Energía [GWh]</t>
  </si>
  <si>
    <t>Demanda real de energía [GWh] - total</t>
  </si>
  <si>
    <t>TRM (Promedio mensual de pesos por dólar)</t>
  </si>
  <si>
    <t>Precio Carbón Colombiano - Dólares americanos por tonelada métrica</t>
  </si>
  <si>
    <t>Precio Gas  Dólares americanos por millón de BTU</t>
  </si>
  <si>
    <t>Precio de oferta promedio - Carbón (COP/kWh)</t>
  </si>
  <si>
    <t>Precio de oferta promedio - Gas (COP/kWh)</t>
  </si>
  <si>
    <t>INDICE - ONI</t>
  </si>
  <si>
    <t>Precio de bolsa nacional (COP/kWh)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</si>
</sst>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C0A]mmm\-yy"/>
    <numFmt numFmtId="165" formatCode="0.0%"/>
    <numFmt numFmtId="166" formatCode="&quot;$&quot;\ #,##0"/>
    <numFmt numFmtId="167" formatCode="&quot;$&quot;\ #,##0.00"/>
    <numFmt numFmtId="168" formatCode="0.0"/>
  </numFmts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7"/>
      <color theme="0"/>
      <name val="Poppins"/>
    </font>
    <font>
      <sz val="8"/>
      <color theme="1"/>
      <name val="Poppins"/>
    </font>
    <font>
      <sz val="9"/>
      <color theme="1"/>
      <name val="Aptos Narrow"/>
      <scheme val="minor"/>
    </font>
    <font>
      <sz val="9"/>
      <color rgb="FF242424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0070C0"/>
        <bgColor rgb="FF0070C0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3" fontId="3" fillId="0" borderId="0" xfId="0" applyNumberFormat="1" applyFont="1"/>
    <xf numFmtId="1" fontId="3" fillId="0" borderId="0" xfId="0" applyNumberFormat="1" applyFont="1"/>
    <xf numFmtId="0" fontId="0" fillId="0" borderId="0" xfId="0" applyAlignment="1">
      <alignment wrapText="1"/>
    </xf>
    <xf numFmtId="165" fontId="3" fillId="0" borderId="0" xfId="0" applyNumberFormat="1" applyFont="1"/>
    <xf numFmtId="10" fontId="3" fillId="0" borderId="0" xfId="0" applyNumberFormat="1" applyFont="1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166" fontId="3" fillId="0" borderId="0" xfId="0" applyNumberFormat="1" applyFont="1"/>
    <xf numFmtId="167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Fill="1"/>
    <xf numFmtId="168" fontId="3" fillId="0" borderId="0" xfId="0" applyNumberFormat="1" applyFont="1"/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1" applyFill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nergox.xm.com.co/hdrlg/Paginas/Informes/ReservasHidricasSIN.aspx" TargetMode="External"/><Relationship Id="rId1" Type="http://schemas.openxmlformats.org/officeDocument/2006/relationships/hyperlink" Target="https://sinergox.xm.com.co/oferta/Paginas/Informes/GeneracionS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5"/>
  <sheetViews>
    <sheetView tabSelected="1" workbookViewId="0">
      <pane ySplit="3" topLeftCell="B103" activePane="bottomLeft" state="frozen"/>
      <selection pane="bottomLeft" activeCell="P124" sqref="P124"/>
    </sheetView>
  </sheetViews>
  <sheetFormatPr defaultRowHeight="15"/>
  <cols>
    <col min="1" max="1" width="10.5703125" customWidth="1"/>
    <col min="2" max="2" width="15" customWidth="1"/>
    <col min="3" max="3" width="15.42578125" customWidth="1"/>
    <col min="4" max="4" width="14.140625" customWidth="1"/>
    <col min="5" max="5" width="15.140625" customWidth="1"/>
    <col min="6" max="6" width="14" customWidth="1"/>
    <col min="7" max="7" width="13.140625" customWidth="1"/>
    <col min="8" max="8" width="15.7109375" customWidth="1"/>
    <col min="9" max="9" width="19.42578125" customWidth="1"/>
    <col min="10" max="10" width="19.5703125" customWidth="1"/>
    <col min="11" max="11" width="27.5703125" customWidth="1"/>
    <col min="12" max="12" width="26.28515625" customWidth="1"/>
    <col min="13" max="13" width="18.28515625" customWidth="1"/>
    <col min="14" max="14" width="17.5703125" customWidth="1"/>
    <col min="15" max="15" width="18.85546875" customWidth="1"/>
    <col min="16" max="16" width="16.5703125" customWidth="1"/>
    <col min="17" max="17" width="1.5703125" customWidth="1"/>
  </cols>
  <sheetData>
    <row r="1" spans="1:23" ht="15" customHeight="1">
      <c r="B1" s="18" t="s">
        <v>0</v>
      </c>
      <c r="C1" s="18"/>
      <c r="D1" s="18" t="s">
        <v>1</v>
      </c>
      <c r="E1" s="18"/>
      <c r="F1" s="18" t="s">
        <v>2</v>
      </c>
      <c r="G1" s="18"/>
      <c r="H1" s="18"/>
      <c r="I1" s="12" t="s">
        <v>3</v>
      </c>
      <c r="J1" s="12" t="s">
        <v>4</v>
      </c>
      <c r="K1" s="17" t="s">
        <v>5</v>
      </c>
      <c r="L1" s="17"/>
      <c r="M1" s="18" t="s">
        <v>6</v>
      </c>
      <c r="N1" s="18"/>
      <c r="O1" s="5"/>
      <c r="P1" s="5"/>
      <c r="Q1" s="5"/>
      <c r="R1" s="5"/>
      <c r="S1" s="5"/>
      <c r="T1" s="5"/>
    </row>
    <row r="2" spans="1:23">
      <c r="B2" s="17" t="s">
        <v>7</v>
      </c>
      <c r="C2" s="18"/>
      <c r="D2" s="17" t="s">
        <v>8</v>
      </c>
      <c r="E2" s="18"/>
      <c r="F2" s="19" t="s">
        <v>9</v>
      </c>
      <c r="G2" s="19"/>
      <c r="H2" s="19"/>
      <c r="I2" s="13" t="s">
        <v>10</v>
      </c>
      <c r="J2" s="13" t="s">
        <v>11</v>
      </c>
      <c r="K2" s="16" t="s">
        <v>12</v>
      </c>
      <c r="L2" s="16"/>
      <c r="M2" s="18" t="s">
        <v>13</v>
      </c>
      <c r="N2" s="18"/>
      <c r="O2" s="12" t="s">
        <v>14</v>
      </c>
      <c r="P2" s="18" t="s">
        <v>13</v>
      </c>
      <c r="Q2" s="18"/>
      <c r="R2" s="12"/>
      <c r="S2" s="12"/>
      <c r="T2" s="12"/>
      <c r="U2" s="12"/>
      <c r="V2" s="12"/>
      <c r="W2" s="12"/>
    </row>
    <row r="3" spans="1:23" ht="30" customHeight="1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8" t="s">
        <v>21</v>
      </c>
      <c r="H3" s="8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5" t="s">
        <v>30</v>
      </c>
    </row>
    <row r="4" spans="1:23" ht="18">
      <c r="A4" s="2">
        <v>36556</v>
      </c>
      <c r="B4" s="3">
        <v>2377.9734078800002</v>
      </c>
      <c r="C4" s="3">
        <v>941.34098758000005</v>
      </c>
      <c r="D4" s="6">
        <v>0.89636949942495125</v>
      </c>
      <c r="E4" s="6">
        <v>0.84267380339439502</v>
      </c>
      <c r="F4" s="6">
        <f>H4/G4</f>
        <v>0.76412171274398444</v>
      </c>
      <c r="G4" s="3">
        <v>13740.406056482756</v>
      </c>
      <c r="H4" s="3">
        <v>10499.34260967742</v>
      </c>
      <c r="I4" s="3">
        <v>3261.7301789100011</v>
      </c>
      <c r="J4" s="10">
        <v>1923.57</v>
      </c>
      <c r="K4" s="11">
        <v>23.94</v>
      </c>
      <c r="L4" s="11">
        <v>2.42</v>
      </c>
      <c r="M4" s="10">
        <v>97.210233947476738</v>
      </c>
      <c r="N4" s="10">
        <v>117.4449711119786</v>
      </c>
      <c r="O4" s="14">
        <v>-1.7</v>
      </c>
      <c r="P4" s="10">
        <v>37.430636838709681</v>
      </c>
    </row>
    <row r="5" spans="1:23" ht="18">
      <c r="A5" s="2">
        <v>36585</v>
      </c>
      <c r="B5" s="3">
        <v>2267.2582778799997</v>
      </c>
      <c r="C5" s="3">
        <v>982.57090789999995</v>
      </c>
      <c r="D5" s="6">
        <v>0.88997511308333521</v>
      </c>
      <c r="E5" s="6">
        <v>0.87012919236430053</v>
      </c>
      <c r="F5" s="6">
        <f t="shared" ref="F4:F67" si="0">H5/G5</f>
        <v>0.72442146382342676</v>
      </c>
      <c r="G5" s="3">
        <v>13740.406056482756</v>
      </c>
      <c r="H5" s="3">
        <v>9953.8450689655165</v>
      </c>
      <c r="I5" s="3">
        <v>3193.0661562</v>
      </c>
      <c r="J5" s="10">
        <v>1950.64</v>
      </c>
      <c r="K5" s="11">
        <v>24.36</v>
      </c>
      <c r="L5" s="11">
        <v>2.65</v>
      </c>
      <c r="M5" s="10">
        <v>97.088087489166696</v>
      </c>
      <c r="N5" s="10">
        <v>116.56297516693397</v>
      </c>
      <c r="O5" s="14">
        <v>-1.4</v>
      </c>
      <c r="P5" s="10">
        <v>41.148416620689652</v>
      </c>
    </row>
    <row r="6" spans="1:23" ht="18">
      <c r="A6" s="2">
        <v>36616</v>
      </c>
      <c r="B6" s="3">
        <v>2493.3693798500003</v>
      </c>
      <c r="C6" s="3">
        <v>970.12757584999997</v>
      </c>
      <c r="D6" s="6">
        <v>0.85204361745350377</v>
      </c>
      <c r="E6" s="6">
        <v>0.83308787639237236</v>
      </c>
      <c r="F6" s="6">
        <f t="shared" si="0"/>
        <v>0.69169197097691071</v>
      </c>
      <c r="G6" s="3">
        <v>13745.463021999996</v>
      </c>
      <c r="H6" s="3">
        <v>9507.6264096774212</v>
      </c>
      <c r="I6" s="3">
        <v>3413.1418277300008</v>
      </c>
      <c r="J6" s="10">
        <v>1956.25</v>
      </c>
      <c r="K6" s="11">
        <v>24.75</v>
      </c>
      <c r="L6" s="11">
        <v>2.79</v>
      </c>
      <c r="M6" s="10">
        <v>126.60968556304553</v>
      </c>
      <c r="N6" s="10">
        <v>138.86141145872517</v>
      </c>
      <c r="O6" s="14">
        <v>-1.1000000000000001</v>
      </c>
      <c r="P6" s="10">
        <v>38.588898387096783</v>
      </c>
    </row>
    <row r="7" spans="1:23" ht="18">
      <c r="A7" s="2">
        <v>36646</v>
      </c>
      <c r="B7" s="3">
        <v>2383.0609165399997</v>
      </c>
      <c r="C7" s="3">
        <v>898.0895283399999</v>
      </c>
      <c r="D7" s="6">
        <v>0.84497671070427882</v>
      </c>
      <c r="E7" s="6">
        <v>0.79428988823311408</v>
      </c>
      <c r="F7" s="6">
        <f t="shared" si="0"/>
        <v>0.66501255568495998</v>
      </c>
      <c r="G7" s="3">
        <v>13745.463021999998</v>
      </c>
      <c r="H7" s="3">
        <v>9140.9054933333318</v>
      </c>
      <c r="I7" s="3">
        <v>3227.2473481800002</v>
      </c>
      <c r="J7" s="10">
        <v>1986.77</v>
      </c>
      <c r="K7" s="11">
        <v>25.020000000000003</v>
      </c>
      <c r="L7" s="11">
        <v>3.03</v>
      </c>
      <c r="M7" s="10">
        <v>112.35646734754319</v>
      </c>
      <c r="N7" s="10">
        <v>136.23095482502043</v>
      </c>
      <c r="O7" s="14">
        <v>-0.8</v>
      </c>
      <c r="P7" s="10">
        <v>45.815784066666673</v>
      </c>
    </row>
    <row r="8" spans="1:23" ht="18">
      <c r="A8" s="2">
        <v>36677</v>
      </c>
      <c r="B8" s="3">
        <v>2720.3803991800005</v>
      </c>
      <c r="C8" s="3">
        <v>758.61602223999978</v>
      </c>
      <c r="D8" s="6">
        <v>0.82510424664502369</v>
      </c>
      <c r="E8" s="6">
        <v>0.76809654187413956</v>
      </c>
      <c r="F8" s="6">
        <f t="shared" si="0"/>
        <v>0.69210493163707798</v>
      </c>
      <c r="G8" s="3">
        <v>13745.463021999996</v>
      </c>
      <c r="H8" s="3">
        <v>9513.3027451612907</v>
      </c>
      <c r="I8" s="3">
        <v>3407.1099308699995</v>
      </c>
      <c r="J8" s="10">
        <v>2055.69</v>
      </c>
      <c r="K8" s="11">
        <v>25.825000000000003</v>
      </c>
      <c r="L8" s="11">
        <v>3.58</v>
      </c>
      <c r="M8" s="10">
        <v>114.05561927409443</v>
      </c>
      <c r="N8" s="10">
        <v>145.29009534114394</v>
      </c>
      <c r="O8" s="14">
        <v>-0.7</v>
      </c>
      <c r="P8" s="10">
        <v>38.102590903225796</v>
      </c>
    </row>
    <row r="9" spans="1:23" ht="18">
      <c r="A9" s="2">
        <v>36707</v>
      </c>
      <c r="B9" s="3">
        <v>2652.2579391600002</v>
      </c>
      <c r="C9" s="3">
        <v>702.23282411999992</v>
      </c>
      <c r="D9" s="6">
        <v>0.83723035508170751</v>
      </c>
      <c r="E9" s="6">
        <v>0.81056827885781013</v>
      </c>
      <c r="F9" s="6">
        <f t="shared" si="0"/>
        <v>0.77553257970320455</v>
      </c>
      <c r="G9" s="3">
        <v>13745.463021999998</v>
      </c>
      <c r="H9" s="3">
        <v>10660.054396666665</v>
      </c>
      <c r="I9" s="3">
        <v>3291.48851784</v>
      </c>
      <c r="J9" s="10">
        <v>2120.17</v>
      </c>
      <c r="K9" s="11">
        <v>26.3</v>
      </c>
      <c r="L9" s="11">
        <v>4.28</v>
      </c>
      <c r="M9" s="10">
        <v>106.11526662024144</v>
      </c>
      <c r="N9" s="10">
        <v>159.17469706795001</v>
      </c>
      <c r="O9" s="14">
        <v>-0.6</v>
      </c>
      <c r="P9" s="10">
        <v>37.931885600000001</v>
      </c>
    </row>
    <row r="10" spans="1:23" ht="18">
      <c r="A10" s="2">
        <v>36738</v>
      </c>
      <c r="B10" s="3">
        <v>2838.4289181900003</v>
      </c>
      <c r="C10" s="3">
        <v>605.43078735000006</v>
      </c>
      <c r="D10" s="6">
        <v>0.86249944357175168</v>
      </c>
      <c r="E10" s="6">
        <v>0.8570226395991134</v>
      </c>
      <c r="F10" s="6">
        <f t="shared" si="0"/>
        <v>0.81720679208528202</v>
      </c>
      <c r="G10" s="3">
        <v>13745.463021999996</v>
      </c>
      <c r="H10" s="3">
        <v>11232.885741935483</v>
      </c>
      <c r="I10" s="3">
        <v>3384.3977943800001</v>
      </c>
      <c r="J10" s="10">
        <v>2161.34</v>
      </c>
      <c r="K10" s="11">
        <v>26.3</v>
      </c>
      <c r="L10" s="11">
        <v>3.96</v>
      </c>
      <c r="M10" s="10">
        <v>128.78306603130093</v>
      </c>
      <c r="N10" s="10">
        <v>188.47497751758539</v>
      </c>
      <c r="O10" s="14">
        <v>-0.6</v>
      </c>
      <c r="P10" s="10">
        <v>43.491954290322582</v>
      </c>
    </row>
    <row r="11" spans="1:23" ht="18">
      <c r="A11" s="2">
        <v>36769</v>
      </c>
      <c r="B11" s="3">
        <v>2646.6337634199995</v>
      </c>
      <c r="C11" s="3">
        <v>839.41102262999993</v>
      </c>
      <c r="D11" s="6">
        <v>0.8564937342654928</v>
      </c>
      <c r="E11" s="6">
        <v>0.85397993643226044</v>
      </c>
      <c r="F11" s="6">
        <f t="shared" si="0"/>
        <v>0.82636349931614894</v>
      </c>
      <c r="G11" s="3">
        <v>13745.463021999996</v>
      </c>
      <c r="H11" s="3">
        <v>11358.748922580644</v>
      </c>
      <c r="I11" s="3">
        <v>3433.3303108999994</v>
      </c>
      <c r="J11" s="10">
        <v>2187.38</v>
      </c>
      <c r="K11" s="11">
        <v>26.3</v>
      </c>
      <c r="L11" s="11">
        <v>4.41</v>
      </c>
      <c r="M11" s="10">
        <v>119.47836786223399</v>
      </c>
      <c r="N11" s="10">
        <v>218.595878603416</v>
      </c>
      <c r="O11" s="14">
        <v>-0.5</v>
      </c>
      <c r="P11" s="10">
        <v>50.482643419354844</v>
      </c>
    </row>
    <row r="12" spans="1:23" ht="18">
      <c r="A12" s="2">
        <v>36799</v>
      </c>
      <c r="B12" s="3">
        <v>2521.4737086099994</v>
      </c>
      <c r="C12" s="3">
        <v>911.0980890899998</v>
      </c>
      <c r="D12" s="6">
        <v>0.86610476525146174</v>
      </c>
      <c r="E12" s="6">
        <v>0.78289957255454534</v>
      </c>
      <c r="F12" s="6">
        <f t="shared" si="0"/>
        <v>0.83445375963753898</v>
      </c>
      <c r="G12" s="3">
        <v>13745.463021999998</v>
      </c>
      <c r="H12" s="3">
        <v>11469.953296666667</v>
      </c>
      <c r="I12" s="3">
        <v>3391.2595634300005</v>
      </c>
      <c r="J12" s="10">
        <v>2213.7600000000002</v>
      </c>
      <c r="K12" s="11">
        <v>27.074999999999999</v>
      </c>
      <c r="L12" s="11">
        <v>5.0599999999999996</v>
      </c>
      <c r="M12" s="10">
        <v>125.61467055478182</v>
      </c>
      <c r="N12" s="10">
        <v>261.04564704796263</v>
      </c>
      <c r="O12" s="14">
        <v>-0.5</v>
      </c>
      <c r="P12" s="10">
        <v>62.428091733333325</v>
      </c>
    </row>
    <row r="13" spans="1:23" ht="18">
      <c r="A13" s="2">
        <v>36830</v>
      </c>
      <c r="B13" s="3">
        <v>2594.78577309</v>
      </c>
      <c r="C13" s="3">
        <v>947.49983091000001</v>
      </c>
      <c r="D13" s="6">
        <v>0.86068975218533195</v>
      </c>
      <c r="E13" s="6">
        <v>0.70557024660730716</v>
      </c>
      <c r="F13" s="6">
        <f t="shared" si="0"/>
        <v>0.82838005678566962</v>
      </c>
      <c r="G13" s="3">
        <v>13745.463021999996</v>
      </c>
      <c r="H13" s="3">
        <v>11386.467438709678</v>
      </c>
      <c r="I13" s="3">
        <v>3496.9571563700001</v>
      </c>
      <c r="J13" s="10">
        <v>2176.61</v>
      </c>
      <c r="K13" s="11">
        <v>27.664999999999999</v>
      </c>
      <c r="L13" s="11">
        <v>5.0199999999999996</v>
      </c>
      <c r="M13" s="10">
        <v>136.09438360417548</v>
      </c>
      <c r="N13" s="10">
        <v>245.53824083554869</v>
      </c>
      <c r="O13" s="14">
        <v>-0.6</v>
      </c>
      <c r="P13" s="10">
        <v>49.950917354838715</v>
      </c>
    </row>
    <row r="14" spans="1:23" ht="18">
      <c r="A14" s="2">
        <v>36860</v>
      </c>
      <c r="B14" s="3">
        <v>2650.2054379800002</v>
      </c>
      <c r="C14" s="3">
        <v>845.04692487000011</v>
      </c>
      <c r="D14" s="6">
        <v>0.84869354869717872</v>
      </c>
      <c r="E14" s="6">
        <v>0.70934725379451491</v>
      </c>
      <c r="F14" s="6">
        <f t="shared" si="0"/>
        <v>0.8411834182299982</v>
      </c>
      <c r="G14" s="3">
        <v>13745.463021999998</v>
      </c>
      <c r="H14" s="3">
        <v>11562.45557</v>
      </c>
      <c r="I14" s="3">
        <v>3436.1565569100003</v>
      </c>
      <c r="J14" s="10">
        <v>2136.63</v>
      </c>
      <c r="K14" s="11">
        <v>26.66</v>
      </c>
      <c r="L14" s="11">
        <v>5.55</v>
      </c>
      <c r="M14" s="10">
        <v>126.58683122799737</v>
      </c>
      <c r="N14" s="10">
        <v>240.26945796564797</v>
      </c>
      <c r="O14" s="14">
        <v>-0.7</v>
      </c>
      <c r="P14" s="10">
        <v>46.844975233333344</v>
      </c>
    </row>
    <row r="15" spans="1:23" ht="18">
      <c r="A15" s="2">
        <v>36891</v>
      </c>
      <c r="B15" s="3">
        <v>2928.4563225200004</v>
      </c>
      <c r="C15" s="3">
        <v>697.5587281600001</v>
      </c>
      <c r="D15" s="6">
        <v>0.8775460288337692</v>
      </c>
      <c r="E15" s="6">
        <v>0.81741952848468502</v>
      </c>
      <c r="F15" s="6">
        <f t="shared" si="0"/>
        <v>0.79979012583312925</v>
      </c>
      <c r="G15" s="3">
        <v>13745.463021999996</v>
      </c>
      <c r="H15" s="3">
        <v>10993.485600000002</v>
      </c>
      <c r="I15" s="3">
        <v>3549.2060797099989</v>
      </c>
      <c r="J15" s="10">
        <v>2186.21</v>
      </c>
      <c r="K15" s="11">
        <v>32.725000000000001</v>
      </c>
      <c r="L15" s="11">
        <v>8.9499999999999993</v>
      </c>
      <c r="M15" s="10">
        <v>164.98796894539277</v>
      </c>
      <c r="N15" s="10">
        <v>320.87251739639504</v>
      </c>
      <c r="O15" s="14">
        <v>-0.7</v>
      </c>
      <c r="P15" s="10">
        <v>57.376938064516111</v>
      </c>
    </row>
    <row r="16" spans="1:23" ht="18">
      <c r="A16" s="2">
        <v>36922</v>
      </c>
      <c r="B16" s="3">
        <v>2573.1682473599999</v>
      </c>
      <c r="C16" s="3">
        <v>917.87590877000002</v>
      </c>
      <c r="D16" s="6">
        <v>0.86868504234093213</v>
      </c>
      <c r="E16" s="6">
        <v>0.80546902712847002</v>
      </c>
      <c r="F16" s="6">
        <f t="shared" si="0"/>
        <v>0.71119722875864988</v>
      </c>
      <c r="G16" s="3">
        <v>14226.11897403225</v>
      </c>
      <c r="H16" s="3">
        <v>10117.576390322583</v>
      </c>
      <c r="I16" s="3">
        <v>3432.9007875100001</v>
      </c>
      <c r="J16" s="10">
        <v>2241.4</v>
      </c>
      <c r="K16" s="11">
        <v>33.525000000000006</v>
      </c>
      <c r="L16" s="11">
        <v>8.17</v>
      </c>
      <c r="M16" s="10">
        <v>159.84062199705951</v>
      </c>
      <c r="N16" s="10">
        <v>260.66114597624687</v>
      </c>
      <c r="O16" s="14">
        <v>-0.7</v>
      </c>
      <c r="P16" s="10">
        <v>72.138629000000009</v>
      </c>
    </row>
    <row r="17" spans="1:16" ht="18">
      <c r="A17" s="2">
        <v>36950</v>
      </c>
      <c r="B17" s="3">
        <v>2309.0958597000003</v>
      </c>
      <c r="C17" s="3">
        <v>976.65504648000024</v>
      </c>
      <c r="D17" s="6">
        <v>0.84569754955463439</v>
      </c>
      <c r="E17" s="6">
        <v>0.82577696167931502</v>
      </c>
      <c r="F17" s="6">
        <f t="shared" si="0"/>
        <v>0.62977091083160575</v>
      </c>
      <c r="G17" s="3">
        <v>14535.208403999994</v>
      </c>
      <c r="H17" s="3">
        <v>9153.8514357142867</v>
      </c>
      <c r="I17" s="3">
        <v>3229.8766039699999</v>
      </c>
      <c r="J17" s="10">
        <v>2243.42</v>
      </c>
      <c r="K17" s="11">
        <v>33.225000000000001</v>
      </c>
      <c r="L17" s="11">
        <v>5.63</v>
      </c>
      <c r="M17" s="10">
        <v>167.7507380467674</v>
      </c>
      <c r="N17" s="10">
        <v>194.08219021341691</v>
      </c>
      <c r="O17" s="14">
        <v>-0.5</v>
      </c>
      <c r="P17" s="10">
        <v>88.495355000000018</v>
      </c>
    </row>
    <row r="18" spans="1:16" ht="18">
      <c r="A18" s="2">
        <v>36981</v>
      </c>
      <c r="B18" s="3">
        <v>2519.4186728900004</v>
      </c>
      <c r="C18" s="3">
        <v>1123.6092896500002</v>
      </c>
      <c r="D18" s="6">
        <v>0.85395803515542379</v>
      </c>
      <c r="E18" s="6">
        <v>0.84767383392910955</v>
      </c>
      <c r="F18" s="6">
        <f t="shared" si="0"/>
        <v>0.56698189620127648</v>
      </c>
      <c r="G18" s="3">
        <v>14535.208403999992</v>
      </c>
      <c r="H18" s="3">
        <v>8241.2000225806441</v>
      </c>
      <c r="I18" s="3">
        <v>3565.0854177400001</v>
      </c>
      <c r="J18" s="10">
        <v>2278.7800000000002</v>
      </c>
      <c r="K18" s="11">
        <v>34.049999999999997</v>
      </c>
      <c r="L18" s="11">
        <v>5.16</v>
      </c>
      <c r="M18" s="10">
        <v>145.40129413488023</v>
      </c>
      <c r="N18" s="10">
        <v>107.54499326259655</v>
      </c>
      <c r="O18" s="14">
        <v>-0.4</v>
      </c>
      <c r="P18" s="10">
        <v>73.025353451612901</v>
      </c>
    </row>
    <row r="19" spans="1:16" ht="18">
      <c r="A19" s="2">
        <v>37011</v>
      </c>
      <c r="B19" s="3">
        <v>2377.1280376599998</v>
      </c>
      <c r="C19" s="3">
        <v>1103.7757105800001</v>
      </c>
      <c r="D19" s="6">
        <v>0.82575493580745829</v>
      </c>
      <c r="E19" s="6">
        <v>0.85531878112057946</v>
      </c>
      <c r="F19" s="6">
        <f t="shared" si="0"/>
        <v>0.52603506050596616</v>
      </c>
      <c r="G19" s="3">
        <v>14584.931777400005</v>
      </c>
      <c r="H19" s="3">
        <v>7672.1854700000004</v>
      </c>
      <c r="I19" s="3">
        <v>3405.7058055200005</v>
      </c>
      <c r="J19" s="10">
        <v>2323.1</v>
      </c>
      <c r="K19" s="11">
        <v>34.515000000000001</v>
      </c>
      <c r="L19" s="11">
        <v>5.17</v>
      </c>
      <c r="M19" s="10">
        <v>149.2713160762942</v>
      </c>
      <c r="N19" s="10">
        <v>138.86197841666205</v>
      </c>
      <c r="O19" s="14">
        <v>-0.3</v>
      </c>
      <c r="P19" s="10">
        <v>68.220020033333327</v>
      </c>
    </row>
    <row r="20" spans="1:16" ht="18">
      <c r="A20" s="2">
        <v>37042</v>
      </c>
      <c r="B20" s="3">
        <v>2615.8036852599994</v>
      </c>
      <c r="C20" s="3">
        <v>1022.7893346899999</v>
      </c>
      <c r="D20" s="6">
        <v>0.83564765287532294</v>
      </c>
      <c r="E20" s="6">
        <v>0.88793842676899082</v>
      </c>
      <c r="F20" s="6">
        <f t="shared" si="0"/>
        <v>0.5456894503188322</v>
      </c>
      <c r="G20" s="3">
        <v>14650.048771548389</v>
      </c>
      <c r="H20" s="3">
        <v>7994.3770612903227</v>
      </c>
      <c r="I20" s="3">
        <v>3577.7639147999998</v>
      </c>
      <c r="J20" s="10">
        <v>2346.9299999999998</v>
      </c>
      <c r="K20" s="11">
        <v>34.274999999999999</v>
      </c>
      <c r="L20" s="11">
        <v>4.21</v>
      </c>
      <c r="M20" s="10">
        <v>150.71110077431274</v>
      </c>
      <c r="N20" s="10">
        <v>136.31974769635133</v>
      </c>
      <c r="O20" s="14">
        <v>-0.3</v>
      </c>
      <c r="P20" s="10">
        <v>51.237346870967755</v>
      </c>
    </row>
    <row r="21" spans="1:16" ht="18">
      <c r="A21" s="2">
        <v>37072</v>
      </c>
      <c r="B21" s="3">
        <v>2596.9855215499997</v>
      </c>
      <c r="C21" s="3">
        <v>839.26977240000008</v>
      </c>
      <c r="D21" s="6">
        <v>0.82953239808405044</v>
      </c>
      <c r="E21" s="6">
        <v>0.85741430207088842</v>
      </c>
      <c r="F21" s="6">
        <f t="shared" si="0"/>
        <v>0.63240839574920404</v>
      </c>
      <c r="G21" s="3">
        <v>14703.364818</v>
      </c>
      <c r="H21" s="3">
        <v>9298.5313566666682</v>
      </c>
      <c r="I21" s="3">
        <v>3419.1155475500004</v>
      </c>
      <c r="J21" s="10">
        <v>2305.66</v>
      </c>
      <c r="K21" s="11">
        <v>34.325000000000003</v>
      </c>
      <c r="L21" s="11">
        <v>3.71</v>
      </c>
      <c r="M21" s="10">
        <v>158.76755014502953</v>
      </c>
      <c r="N21" s="10">
        <v>153.496648408418</v>
      </c>
      <c r="O21" s="14">
        <v>-0.1</v>
      </c>
      <c r="P21" s="10">
        <v>43.677460399999987</v>
      </c>
    </row>
    <row r="22" spans="1:16" ht="18">
      <c r="A22" s="2">
        <v>37103</v>
      </c>
      <c r="B22" s="3">
        <v>2843.92321292</v>
      </c>
      <c r="C22" s="3">
        <v>746.10741861999975</v>
      </c>
      <c r="D22" s="6">
        <v>0.85578990194005566</v>
      </c>
      <c r="E22" s="6">
        <v>0.85380011417504931</v>
      </c>
      <c r="F22" s="6">
        <f t="shared" si="0"/>
        <v>0.71721805561788998</v>
      </c>
      <c r="G22" s="3">
        <v>14703.364818</v>
      </c>
      <c r="H22" s="3">
        <v>10545.518725806451</v>
      </c>
      <c r="I22" s="3">
        <v>3516.1280263600001</v>
      </c>
      <c r="J22" s="10">
        <v>2304.2800000000002</v>
      </c>
      <c r="K22" s="11">
        <v>34.174999999999997</v>
      </c>
      <c r="L22" s="11">
        <v>3.1</v>
      </c>
      <c r="M22" s="10">
        <v>156.06915908503427</v>
      </c>
      <c r="N22" s="10">
        <v>145.66759539850725</v>
      </c>
      <c r="O22" s="14">
        <v>-0.1</v>
      </c>
      <c r="P22" s="10">
        <v>40.638961064516131</v>
      </c>
    </row>
    <row r="23" spans="1:16" ht="18">
      <c r="A23" s="2">
        <v>37134</v>
      </c>
      <c r="B23" s="3">
        <v>2951.04891705</v>
      </c>
      <c r="C23" s="3">
        <v>765.29193491000001</v>
      </c>
      <c r="D23" s="6">
        <v>0.86450245475984411</v>
      </c>
      <c r="E23" s="6">
        <v>0.87777121090588517</v>
      </c>
      <c r="F23" s="6">
        <f t="shared" si="0"/>
        <v>0.76270258631309351</v>
      </c>
      <c r="G23" s="3">
        <v>14703.364818</v>
      </c>
      <c r="H23" s="3">
        <v>11214.294374193547</v>
      </c>
      <c r="I23" s="3">
        <v>3640.7559115899999</v>
      </c>
      <c r="J23" s="10">
        <v>2288.9</v>
      </c>
      <c r="K23" s="11">
        <v>33.974999999999994</v>
      </c>
      <c r="L23" s="11">
        <v>2.95</v>
      </c>
      <c r="M23" s="10">
        <v>201.80421578623555</v>
      </c>
      <c r="N23" s="10">
        <v>124.96698069611553</v>
      </c>
      <c r="O23" s="14">
        <v>-0.1</v>
      </c>
      <c r="P23" s="10">
        <v>39.990222225806441</v>
      </c>
    </row>
    <row r="24" spans="1:16" ht="18">
      <c r="A24" s="2">
        <v>37164</v>
      </c>
      <c r="B24" s="3">
        <v>2826.0645768699997</v>
      </c>
      <c r="C24" s="3">
        <v>753.53255445999991</v>
      </c>
      <c r="D24" s="6">
        <v>0.89248642385898769</v>
      </c>
      <c r="E24" s="6">
        <v>0.90982976154918405</v>
      </c>
      <c r="F24" s="6">
        <f t="shared" si="0"/>
        <v>0.77241306512120478</v>
      </c>
      <c r="G24" s="3">
        <v>14703.364818</v>
      </c>
      <c r="H24" s="3">
        <v>11357.071086666665</v>
      </c>
      <c r="I24" s="3">
        <v>3510.9830241399995</v>
      </c>
      <c r="J24" s="10">
        <v>2328.23</v>
      </c>
      <c r="K24" s="11">
        <v>32.93</v>
      </c>
      <c r="L24" s="11">
        <v>2.15</v>
      </c>
      <c r="M24" s="10">
        <v>166.33750590566777</v>
      </c>
      <c r="N24" s="10">
        <v>131.68381772755308</v>
      </c>
      <c r="O24" s="14">
        <v>-0.2</v>
      </c>
      <c r="P24" s="10">
        <v>46.394993866666667</v>
      </c>
    </row>
    <row r="25" spans="1:16" ht="18">
      <c r="A25" s="2">
        <v>37195</v>
      </c>
      <c r="B25" s="3">
        <v>3006.9303572999997</v>
      </c>
      <c r="C25" s="3">
        <v>718.13417476000018</v>
      </c>
      <c r="D25" s="6">
        <v>0.87329489525429438</v>
      </c>
      <c r="E25" s="6">
        <v>0.80348864994026281</v>
      </c>
      <c r="F25" s="6">
        <f t="shared" si="0"/>
        <v>0.76667923344605526</v>
      </c>
      <c r="G25" s="3">
        <v>14703.364818</v>
      </c>
      <c r="H25" s="3">
        <v>11272.764467741938</v>
      </c>
      <c r="I25" s="3">
        <v>3650.2770501899995</v>
      </c>
      <c r="J25" s="10">
        <v>2320.65</v>
      </c>
      <c r="K25" s="11">
        <v>32.715000000000003</v>
      </c>
      <c r="L25" s="11">
        <v>2.4500000000000002</v>
      </c>
      <c r="M25" s="10">
        <v>99.432372121880235</v>
      </c>
      <c r="N25" s="10">
        <v>124.50258093315936</v>
      </c>
      <c r="O25" s="14">
        <v>-0.3</v>
      </c>
      <c r="P25" s="10">
        <v>48.152661129032261</v>
      </c>
    </row>
    <row r="26" spans="1:16" ht="18">
      <c r="A26" s="2">
        <v>37225</v>
      </c>
      <c r="B26" s="3">
        <v>2741.6751393600002</v>
      </c>
      <c r="C26" s="3">
        <v>852.20116548999965</v>
      </c>
      <c r="D26" s="6">
        <v>0.90246852265499744</v>
      </c>
      <c r="E26" s="6">
        <v>0.78151232078853072</v>
      </c>
      <c r="F26" s="6">
        <f t="shared" si="0"/>
        <v>0.7902675199744198</v>
      </c>
      <c r="G26" s="3">
        <v>14703.364818</v>
      </c>
      <c r="H26" s="3">
        <v>11619.591649999997</v>
      </c>
      <c r="I26" s="3">
        <v>3490.3622105799996</v>
      </c>
      <c r="J26" s="10">
        <v>2310.4699999999998</v>
      </c>
      <c r="K26" s="11">
        <v>30.45</v>
      </c>
      <c r="L26" s="11">
        <v>2.36</v>
      </c>
      <c r="M26" s="10">
        <v>142.82025540826655</v>
      </c>
      <c r="N26" s="10">
        <v>127.21259755659597</v>
      </c>
      <c r="O26" s="14">
        <v>-0.3</v>
      </c>
      <c r="P26" s="10">
        <v>40.372141066666664</v>
      </c>
    </row>
    <row r="27" spans="1:16" ht="18">
      <c r="A27" s="2">
        <v>37256</v>
      </c>
      <c r="B27" s="3">
        <v>3077.6832222200001</v>
      </c>
      <c r="C27" s="3">
        <v>690.47367685000006</v>
      </c>
      <c r="D27" s="6">
        <v>0.92945381757855949</v>
      </c>
      <c r="E27" s="6">
        <v>0.90149427799938364</v>
      </c>
      <c r="F27" s="6">
        <f t="shared" si="0"/>
        <v>0.74239636548520083</v>
      </c>
      <c r="G27" s="3">
        <v>9855.0824862580575</v>
      </c>
      <c r="H27" s="3">
        <v>7316.3774193548388</v>
      </c>
      <c r="I27" s="3">
        <v>3626.5722074400001</v>
      </c>
      <c r="J27" s="10">
        <v>2306.9</v>
      </c>
      <c r="K27" s="11">
        <v>28.9</v>
      </c>
      <c r="L27" s="11">
        <v>2.41</v>
      </c>
      <c r="M27" s="10">
        <v>135.16985729044342</v>
      </c>
      <c r="N27" s="10">
        <v>137.69361921228418</v>
      </c>
      <c r="O27" s="14">
        <v>-0.3</v>
      </c>
      <c r="P27" s="10">
        <v>35.646283451612902</v>
      </c>
    </row>
    <row r="28" spans="1:16" ht="18">
      <c r="A28" s="2">
        <v>37287</v>
      </c>
      <c r="B28" s="3">
        <v>2790.9096200600002</v>
      </c>
      <c r="C28" s="3">
        <v>873.38343613000006</v>
      </c>
      <c r="D28" s="6">
        <v>0.91976520755116919</v>
      </c>
      <c r="E28" s="6">
        <v>0.87216225322291607</v>
      </c>
      <c r="F28" s="6">
        <f t="shared" si="0"/>
        <v>0.58006026461833038</v>
      </c>
      <c r="G28" s="3">
        <v>5342.2107989354836</v>
      </c>
      <c r="H28" s="3">
        <v>3098.8042096774188</v>
      </c>
      <c r="I28" s="3">
        <v>3538.0200877500001</v>
      </c>
      <c r="J28" s="10">
        <v>2274.96</v>
      </c>
      <c r="K28" s="11">
        <v>28.524999999999999</v>
      </c>
      <c r="L28" s="11">
        <v>2.25</v>
      </c>
      <c r="M28" s="10">
        <v>105.53275268765229</v>
      </c>
      <c r="N28" s="10">
        <v>129.10777821914078</v>
      </c>
      <c r="O28" s="14">
        <v>-0.1</v>
      </c>
      <c r="P28" s="10">
        <v>39.200068612903223</v>
      </c>
    </row>
    <row r="29" spans="1:16" ht="18">
      <c r="A29" s="2">
        <v>37315</v>
      </c>
      <c r="B29" s="3">
        <v>2406.1392913</v>
      </c>
      <c r="C29" s="3">
        <v>1071.9552860300003</v>
      </c>
      <c r="D29" s="6">
        <v>0.87252564357917051</v>
      </c>
      <c r="E29" s="6">
        <v>0.87738756226461567</v>
      </c>
      <c r="F29" s="6">
        <f t="shared" si="0"/>
        <v>0.53743225161033181</v>
      </c>
      <c r="G29" s="3">
        <v>5387.1950210000014</v>
      </c>
      <c r="H29" s="3">
        <v>2895.2523499999998</v>
      </c>
      <c r="I29" s="3">
        <v>3326.7084851399995</v>
      </c>
      <c r="J29" s="10">
        <v>2286.6999999999998</v>
      </c>
      <c r="K29" s="11">
        <v>28.524999999999999</v>
      </c>
      <c r="L29" s="11">
        <v>2.31</v>
      </c>
      <c r="M29" s="10">
        <v>65.412753032345023</v>
      </c>
      <c r="N29" s="10">
        <v>121.74906492056378</v>
      </c>
      <c r="O29" s="14">
        <v>0</v>
      </c>
      <c r="P29" s="10">
        <v>57.870118571428556</v>
      </c>
    </row>
    <row r="30" spans="1:16" ht="18">
      <c r="A30" s="2">
        <v>37346</v>
      </c>
      <c r="B30" s="3">
        <v>2768.4478752400005</v>
      </c>
      <c r="C30" s="3">
        <v>913.02065778999997</v>
      </c>
      <c r="D30" s="6">
        <v>0.87451795519670916</v>
      </c>
      <c r="E30" s="6">
        <v>0.88630630035842217</v>
      </c>
      <c r="F30" s="6">
        <f t="shared" si="0"/>
        <v>0.5082576312852517</v>
      </c>
      <c r="G30" s="3">
        <v>5387.1950210000005</v>
      </c>
      <c r="H30" s="3">
        <v>2738.082980645162</v>
      </c>
      <c r="I30" s="3">
        <v>3544.463880289999</v>
      </c>
      <c r="J30" s="10">
        <v>2282.33</v>
      </c>
      <c r="K30" s="11">
        <v>28.075000000000003</v>
      </c>
      <c r="L30" s="11">
        <v>3.03</v>
      </c>
      <c r="M30" s="10">
        <v>108.31892878880086</v>
      </c>
      <c r="N30" s="10">
        <v>111.31838476645095</v>
      </c>
      <c r="O30" s="14">
        <v>0.1</v>
      </c>
      <c r="P30" s="10">
        <v>54.387723870967754</v>
      </c>
    </row>
    <row r="31" spans="1:16" ht="18">
      <c r="A31" s="2">
        <v>37376</v>
      </c>
      <c r="B31" s="3">
        <v>2732.2833756700006</v>
      </c>
      <c r="C31" s="3">
        <v>911.79243770000005</v>
      </c>
      <c r="D31" s="6">
        <v>0.88983225195881033</v>
      </c>
      <c r="E31" s="6">
        <v>0.81870685151697831</v>
      </c>
      <c r="F31" s="6">
        <f t="shared" si="0"/>
        <v>0.52339577479726263</v>
      </c>
      <c r="G31" s="3">
        <v>5716.6296219000014</v>
      </c>
      <c r="H31" s="3">
        <v>2992.0597901833335</v>
      </c>
      <c r="I31" s="3">
        <v>3530.8262120099998</v>
      </c>
      <c r="J31" s="10">
        <v>2263.11</v>
      </c>
      <c r="K31" s="11">
        <v>26.958749999999998</v>
      </c>
      <c r="L31" s="11">
        <v>3.42</v>
      </c>
      <c r="M31" s="10">
        <v>73.620574787669028</v>
      </c>
      <c r="N31" s="10">
        <v>127.43217454647116</v>
      </c>
      <c r="O31" s="14">
        <v>0.2</v>
      </c>
      <c r="P31" s="10">
        <v>50.321198699999989</v>
      </c>
    </row>
    <row r="32" spans="1:16" ht="18">
      <c r="A32" s="2">
        <v>37407</v>
      </c>
      <c r="B32" s="3">
        <v>3059.1673782299995</v>
      </c>
      <c r="C32" s="3">
        <v>714.36905882999997</v>
      </c>
      <c r="D32" s="6">
        <v>0.86346958549439967</v>
      </c>
      <c r="E32" s="6">
        <v>0.89899154790819558</v>
      </c>
      <c r="F32" s="6">
        <f t="shared" si="0"/>
        <v>0.67915457111509103</v>
      </c>
      <c r="G32" s="3">
        <v>15270.233048000009</v>
      </c>
      <c r="H32" s="3">
        <v>10370.848576541935</v>
      </c>
      <c r="I32" s="3">
        <v>3664.83324309</v>
      </c>
      <c r="J32" s="10">
        <v>2310.2399999999998</v>
      </c>
      <c r="K32" s="11">
        <v>26.3125</v>
      </c>
      <c r="L32" s="11">
        <v>3.49</v>
      </c>
      <c r="M32" s="10">
        <v>152.58406141401454</v>
      </c>
      <c r="N32" s="10">
        <v>134.56001405648459</v>
      </c>
      <c r="O32" s="14">
        <v>0.4</v>
      </c>
      <c r="P32" s="10">
        <v>40.241671354838708</v>
      </c>
    </row>
    <row r="33" spans="1:16" ht="18">
      <c r="A33" s="2">
        <v>37437</v>
      </c>
      <c r="B33" s="3">
        <v>2968.4734869499998</v>
      </c>
      <c r="C33" s="3">
        <v>613.07615982000004</v>
      </c>
      <c r="D33" s="6">
        <v>0.84908280672070946</v>
      </c>
      <c r="E33" s="6">
        <v>0.86012433636708363</v>
      </c>
      <c r="F33" s="6">
        <f t="shared" si="0"/>
        <v>0.79484743865689433</v>
      </c>
      <c r="G33" s="3">
        <v>15270.233048000007</v>
      </c>
      <c r="H33" s="3">
        <v>12137.505625896667</v>
      </c>
      <c r="I33" s="3">
        <v>3464.7475315800002</v>
      </c>
      <c r="J33" s="10">
        <v>2364.25</v>
      </c>
      <c r="K33" s="11">
        <v>24.64</v>
      </c>
      <c r="L33" s="11">
        <v>3.22</v>
      </c>
      <c r="M33" s="10">
        <v>144.67251674249428</v>
      </c>
      <c r="N33" s="10">
        <v>145.16513581074483</v>
      </c>
      <c r="O33" s="14">
        <v>0.7</v>
      </c>
      <c r="P33" s="10">
        <v>35.6454466</v>
      </c>
    </row>
    <row r="34" spans="1:16" ht="18">
      <c r="A34" s="2">
        <v>37468</v>
      </c>
      <c r="B34" s="3">
        <v>3135.4611064799997</v>
      </c>
      <c r="C34" s="3">
        <v>617.36241267000014</v>
      </c>
      <c r="D34" s="6">
        <v>0.8916966968061083</v>
      </c>
      <c r="E34" s="6">
        <v>0.90468410461545978</v>
      </c>
      <c r="F34" s="6">
        <f t="shared" si="0"/>
        <v>0.84965031228893761</v>
      </c>
      <c r="G34" s="3">
        <v>15270.233048000009</v>
      </c>
      <c r="H34" s="3">
        <v>12974.358277958063</v>
      </c>
      <c r="I34" s="3">
        <v>3631.0231758199998</v>
      </c>
      <c r="J34" s="10">
        <v>2506.7199999999998</v>
      </c>
      <c r="K34" s="11">
        <v>22.939999999999998</v>
      </c>
      <c r="L34" s="11">
        <v>2.98</v>
      </c>
      <c r="M34" s="10">
        <v>139.06156977770348</v>
      </c>
      <c r="N34" s="10">
        <v>169.81380119552153</v>
      </c>
      <c r="O34" s="14">
        <v>0.8</v>
      </c>
      <c r="P34" s="10">
        <v>42.465327129032261</v>
      </c>
    </row>
    <row r="35" spans="1:16" ht="18">
      <c r="A35" s="2">
        <v>37499</v>
      </c>
      <c r="B35" s="3">
        <v>3032.2519530700006</v>
      </c>
      <c r="C35" s="3">
        <v>788.37465699999984</v>
      </c>
      <c r="D35" s="6">
        <v>0.90004635868873539</v>
      </c>
      <c r="E35" s="6">
        <v>0.93650659696113692</v>
      </c>
      <c r="F35" s="6">
        <f t="shared" si="0"/>
        <v>0.85461652556569623</v>
      </c>
      <c r="G35" s="3">
        <v>15311.926461451616</v>
      </c>
      <c r="H35" s="3">
        <v>13085.825392203225</v>
      </c>
      <c r="I35" s="3">
        <v>3682.1088019100007</v>
      </c>
      <c r="J35" s="10">
        <v>2647.22</v>
      </c>
      <c r="K35" s="11">
        <v>21.75</v>
      </c>
      <c r="L35" s="11">
        <v>3.09</v>
      </c>
      <c r="M35" s="10">
        <v>126.77712678941182</v>
      </c>
      <c r="N35" s="10">
        <v>255.60314556053837</v>
      </c>
      <c r="O35" s="14">
        <v>0.9</v>
      </c>
      <c r="P35" s="10">
        <v>45.646800645161285</v>
      </c>
    </row>
    <row r="36" spans="1:16" ht="18">
      <c r="A36" s="2">
        <v>37529</v>
      </c>
      <c r="B36" s="3">
        <v>2968.7209025399998</v>
      </c>
      <c r="C36" s="3">
        <v>780.76103145000002</v>
      </c>
      <c r="D36" s="6">
        <v>0.86841812704132026</v>
      </c>
      <c r="E36" s="6">
        <v>0.88144047602761322</v>
      </c>
      <c r="F36" s="6">
        <f t="shared" si="0"/>
        <v>0.83515248101246331</v>
      </c>
      <c r="G36" s="3">
        <v>15485.649017499994</v>
      </c>
      <c r="H36" s="3">
        <v>12932.878197053335</v>
      </c>
      <c r="I36" s="3">
        <v>3620.7433763200006</v>
      </c>
      <c r="J36" s="10">
        <v>2751.23</v>
      </c>
      <c r="K36" s="11">
        <v>22.89</v>
      </c>
      <c r="L36" s="11">
        <v>3.57</v>
      </c>
      <c r="M36" s="10">
        <v>119.014460968227</v>
      </c>
      <c r="N36" s="10">
        <v>255.22518797843739</v>
      </c>
      <c r="O36" s="14">
        <v>1</v>
      </c>
      <c r="P36" s="10">
        <v>49.370489099999993</v>
      </c>
    </row>
    <row r="37" spans="1:16" ht="18">
      <c r="A37" s="2">
        <v>37560</v>
      </c>
      <c r="B37" s="3">
        <v>2980.54909993</v>
      </c>
      <c r="C37" s="3">
        <v>882.92514142999994</v>
      </c>
      <c r="D37" s="6">
        <v>0.84111430292291667</v>
      </c>
      <c r="E37" s="6">
        <v>0.83296868190312978</v>
      </c>
      <c r="F37" s="6">
        <f t="shared" si="0"/>
        <v>0.79990860746690584</v>
      </c>
      <c r="G37" s="3">
        <v>15485.649017499994</v>
      </c>
      <c r="H37" s="3">
        <v>12387.103941309679</v>
      </c>
      <c r="I37" s="3">
        <v>3750.6525706500006</v>
      </c>
      <c r="J37" s="10">
        <v>2827.86</v>
      </c>
      <c r="K37" s="11">
        <v>25.925000000000001</v>
      </c>
      <c r="L37" s="11">
        <v>4.12</v>
      </c>
      <c r="M37" s="10">
        <v>79.200599082842388</v>
      </c>
      <c r="N37" s="10">
        <v>262.42605943984557</v>
      </c>
      <c r="O37" s="14">
        <v>1.2</v>
      </c>
      <c r="P37" s="10">
        <v>60.499037709677395</v>
      </c>
    </row>
    <row r="38" spans="1:16" ht="18">
      <c r="A38" s="2">
        <v>37590</v>
      </c>
      <c r="B38" s="3">
        <v>2988.1476079600002</v>
      </c>
      <c r="C38" s="3">
        <v>744.80455284000016</v>
      </c>
      <c r="D38" s="6">
        <v>0.84175523934022034</v>
      </c>
      <c r="E38" s="6">
        <v>0.8099153780736571</v>
      </c>
      <c r="F38" s="6">
        <f t="shared" si="0"/>
        <v>0.81573304803529223</v>
      </c>
      <c r="G38" s="3">
        <v>15485.649017499994</v>
      </c>
      <c r="H38" s="3">
        <v>12632.155673849998</v>
      </c>
      <c r="I38" s="3">
        <v>3622.8737429700004</v>
      </c>
      <c r="J38" s="10">
        <v>2726.66</v>
      </c>
      <c r="K38" s="11">
        <v>25.740000000000002</v>
      </c>
      <c r="L38" s="11">
        <v>4.04</v>
      </c>
      <c r="M38" s="10">
        <v>169.38413158817508</v>
      </c>
      <c r="N38" s="10">
        <v>245.30782574237153</v>
      </c>
      <c r="O38" s="14">
        <v>1.3</v>
      </c>
      <c r="P38" s="10">
        <v>53.457209333333331</v>
      </c>
    </row>
    <row r="39" spans="1:16" ht="18">
      <c r="A39" s="2">
        <v>37621</v>
      </c>
      <c r="B39" s="3">
        <v>2839.6913751100001</v>
      </c>
      <c r="C39" s="3">
        <v>1050.1964945</v>
      </c>
      <c r="D39" s="6">
        <v>0.92164126147705783</v>
      </c>
      <c r="E39" s="6">
        <v>0.86834274408897472</v>
      </c>
      <c r="F39" s="6">
        <f t="shared" si="0"/>
        <v>0.77130180697893669</v>
      </c>
      <c r="G39" s="3">
        <v>14938.29494606451</v>
      </c>
      <c r="H39" s="3">
        <v>11521.933885083874</v>
      </c>
      <c r="I39" s="3">
        <v>3773.0446438599993</v>
      </c>
      <c r="J39" s="10">
        <v>2814.89</v>
      </c>
      <c r="K39" s="11">
        <v>25.72</v>
      </c>
      <c r="L39" s="11">
        <v>4.74</v>
      </c>
      <c r="M39" s="10">
        <v>106.54323735971059</v>
      </c>
      <c r="N39" s="10">
        <v>210.0318166896889</v>
      </c>
      <c r="O39" s="14">
        <v>1.1000000000000001</v>
      </c>
      <c r="P39" s="10">
        <v>64.315190709677424</v>
      </c>
    </row>
    <row r="40" spans="1:16" ht="18">
      <c r="A40" s="2">
        <v>37652</v>
      </c>
      <c r="B40" s="3">
        <v>2816.4932448599998</v>
      </c>
      <c r="C40" s="3">
        <v>981.33206111000015</v>
      </c>
      <c r="D40" s="6">
        <v>0.92632250753259293</v>
      </c>
      <c r="E40" s="6">
        <v>0.94024685129711061</v>
      </c>
      <c r="F40" s="6">
        <f t="shared" si="0"/>
        <v>0.69216245925604125</v>
      </c>
      <c r="G40" s="3">
        <v>14857.205453999994</v>
      </c>
      <c r="H40" s="3">
        <v>10283.599864712904</v>
      </c>
      <c r="I40" s="3">
        <v>3686.1928933100007</v>
      </c>
      <c r="J40" s="10">
        <v>2913</v>
      </c>
      <c r="K40" s="11">
        <v>26.181249999999999</v>
      </c>
      <c r="L40" s="11">
        <v>5.405869</v>
      </c>
      <c r="M40" s="10">
        <v>81.728274724949955</v>
      </c>
      <c r="N40" s="10">
        <v>236.15416605309261</v>
      </c>
      <c r="O40" s="14">
        <v>0.9</v>
      </c>
      <c r="P40" s="10">
        <v>69.299559290322577</v>
      </c>
    </row>
    <row r="41" spans="1:16" ht="18">
      <c r="A41" s="2">
        <v>37680</v>
      </c>
      <c r="B41" s="3">
        <v>2671.8610339100001</v>
      </c>
      <c r="C41" s="3">
        <v>854.97983524000006</v>
      </c>
      <c r="D41" s="6">
        <v>0.88339358625585118</v>
      </c>
      <c r="E41" s="6">
        <v>0.94896659409989981</v>
      </c>
      <c r="F41" s="6">
        <f t="shared" si="0"/>
        <v>0.57142875123526593</v>
      </c>
      <c r="G41" s="3">
        <v>14857.205453999995</v>
      </c>
      <c r="H41" s="3">
        <v>8489.834359425</v>
      </c>
      <c r="I41" s="3">
        <v>3440.6037753500004</v>
      </c>
      <c r="J41" s="10">
        <v>2951.86</v>
      </c>
      <c r="K41" s="11">
        <v>26.074999999999999</v>
      </c>
      <c r="L41" s="11">
        <v>7.7736840000000003</v>
      </c>
      <c r="M41" s="10">
        <v>87.965494438542706</v>
      </c>
      <c r="N41" s="10">
        <v>229.70069558040103</v>
      </c>
      <c r="O41" s="14">
        <v>0.6</v>
      </c>
      <c r="P41" s="10">
        <v>72.245756107142853</v>
      </c>
    </row>
    <row r="42" spans="1:16" ht="18">
      <c r="A42" s="2">
        <v>37711</v>
      </c>
      <c r="B42" s="3">
        <v>2940.7851438100001</v>
      </c>
      <c r="C42" s="3">
        <v>1070.73091995</v>
      </c>
      <c r="D42" s="6">
        <v>0.86349592112720974</v>
      </c>
      <c r="E42" s="6">
        <v>0.92076872681974253</v>
      </c>
      <c r="F42" s="6">
        <f t="shared" si="0"/>
        <v>0.45612618864606297</v>
      </c>
      <c r="G42" s="3">
        <v>14857.205453999994</v>
      </c>
      <c r="H42" s="3">
        <v>6776.7604976645171</v>
      </c>
      <c r="I42" s="3">
        <v>3773.3215076900005</v>
      </c>
      <c r="J42" s="10">
        <v>2959.01</v>
      </c>
      <c r="K42" s="11">
        <v>25.074999999999999</v>
      </c>
      <c r="L42" s="11">
        <v>5.9468569999999996</v>
      </c>
      <c r="M42" s="10">
        <v>97.39577274846161</v>
      </c>
      <c r="N42" s="10">
        <v>238.65885552987859</v>
      </c>
      <c r="O42" s="14">
        <v>0.4</v>
      </c>
      <c r="P42" s="10">
        <v>77.271555064516122</v>
      </c>
    </row>
    <row r="43" spans="1:16" ht="18">
      <c r="A43" s="2">
        <v>37741</v>
      </c>
      <c r="B43" s="3">
        <v>2902.4782091699999</v>
      </c>
      <c r="C43" s="3">
        <v>883.84863998999992</v>
      </c>
      <c r="D43" s="6">
        <v>0.85322839175978471</v>
      </c>
      <c r="E43" s="6">
        <v>0.90093228054793117</v>
      </c>
      <c r="F43" s="6">
        <f t="shared" si="0"/>
        <v>0.42440681307527067</v>
      </c>
      <c r="G43" s="3">
        <v>14857.205453999994</v>
      </c>
      <c r="H43" s="3">
        <v>6305.4992179366673</v>
      </c>
      <c r="I43" s="3">
        <v>3590.5863919700005</v>
      </c>
      <c r="J43" s="10">
        <v>2926.62</v>
      </c>
      <c r="K43" s="11">
        <v>23.637499999999999</v>
      </c>
      <c r="L43" s="11">
        <v>5.2893179999999997</v>
      </c>
      <c r="M43" s="10">
        <v>111.18735219748295</v>
      </c>
      <c r="N43" s="10">
        <v>240.16530138786996</v>
      </c>
      <c r="O43" s="14">
        <v>0</v>
      </c>
      <c r="P43" s="10">
        <v>80.596936599999992</v>
      </c>
    </row>
    <row r="44" spans="1:16" ht="18">
      <c r="A44" s="2">
        <v>37772</v>
      </c>
      <c r="B44" s="3">
        <v>3061.4296088000001</v>
      </c>
      <c r="C44" s="3">
        <v>809.47149361999982</v>
      </c>
      <c r="D44" s="6">
        <v>0.86627254675319509</v>
      </c>
      <c r="E44" s="6">
        <v>0.89147200169209728</v>
      </c>
      <c r="F44" s="6">
        <f t="shared" si="0"/>
        <v>0.50217306427054687</v>
      </c>
      <c r="G44" s="3">
        <v>14857.205453999994</v>
      </c>
      <c r="H44" s="3">
        <v>7460.8883893322582</v>
      </c>
      <c r="I44" s="3">
        <v>3788.2481643799997</v>
      </c>
      <c r="J44" s="10">
        <v>2858.94</v>
      </c>
      <c r="K44" s="11">
        <v>23.475000000000001</v>
      </c>
      <c r="L44" s="11">
        <v>5.838044</v>
      </c>
      <c r="M44" s="10">
        <v>133.51013716022365</v>
      </c>
      <c r="N44" s="10">
        <v>249.70710780683052</v>
      </c>
      <c r="O44" s="14">
        <v>-0.3</v>
      </c>
      <c r="P44" s="10">
        <v>69.903898838709694</v>
      </c>
    </row>
    <row r="45" spans="1:16" ht="18">
      <c r="A45" s="2">
        <v>37802</v>
      </c>
      <c r="B45" s="3">
        <v>3070.1297812700004</v>
      </c>
      <c r="C45" s="3">
        <v>625.79931506000003</v>
      </c>
      <c r="D45" s="6">
        <v>0.88500921469118576</v>
      </c>
      <c r="E45" s="6">
        <v>0.88490896614821601</v>
      </c>
      <c r="F45" s="6">
        <f t="shared" si="0"/>
        <v>0.60527279455856531</v>
      </c>
      <c r="G45" s="3">
        <v>14857.205453999994</v>
      </c>
      <c r="H45" s="3">
        <v>8992.6622644733343</v>
      </c>
      <c r="I45" s="3">
        <v>3548.6144711899997</v>
      </c>
      <c r="J45" s="10">
        <v>2826.95</v>
      </c>
      <c r="K45" s="11">
        <v>25.425000000000001</v>
      </c>
      <c r="L45" s="11">
        <v>5.7719050000000003</v>
      </c>
      <c r="M45" s="10">
        <v>164.54472444987161</v>
      </c>
      <c r="N45" s="10">
        <v>267.36091117382136</v>
      </c>
      <c r="O45" s="14">
        <v>-0.2</v>
      </c>
      <c r="P45" s="10">
        <v>65.238892833333338</v>
      </c>
    </row>
    <row r="46" spans="1:16" ht="18">
      <c r="A46" s="2">
        <v>37833</v>
      </c>
      <c r="B46" s="3">
        <v>3399.0032472100002</v>
      </c>
      <c r="C46" s="3">
        <v>543.45998691</v>
      </c>
      <c r="D46" s="6">
        <v>0.87432064038799173</v>
      </c>
      <c r="E46" s="6">
        <v>0.8826783926797116</v>
      </c>
      <c r="F46" s="6">
        <f t="shared" si="0"/>
        <v>0.67543149440457162</v>
      </c>
      <c r="G46" s="3">
        <v>14857.205453999994</v>
      </c>
      <c r="H46" s="3">
        <v>10035.024482470968</v>
      </c>
      <c r="I46" s="3">
        <v>3791.1979806000004</v>
      </c>
      <c r="J46" s="10">
        <v>2858.82</v>
      </c>
      <c r="K46" s="11">
        <v>26.925000000000001</v>
      </c>
      <c r="L46" s="11">
        <v>5.0049999999999999</v>
      </c>
      <c r="M46" s="10">
        <v>178.38935925522134</v>
      </c>
      <c r="N46" s="10">
        <v>277.30951926693643</v>
      </c>
      <c r="O46" s="14">
        <v>0.1</v>
      </c>
      <c r="P46" s="10">
        <v>70.230489451612911</v>
      </c>
    </row>
    <row r="47" spans="1:16" ht="18">
      <c r="A47" s="2">
        <v>37864</v>
      </c>
      <c r="B47" s="3">
        <v>3265.90179902</v>
      </c>
      <c r="C47" s="3">
        <v>700.04098306999992</v>
      </c>
      <c r="D47" s="6">
        <v>0.87656509765110358</v>
      </c>
      <c r="E47" s="6">
        <v>0.87039543318543999</v>
      </c>
      <c r="F47" s="6">
        <f t="shared" si="0"/>
        <v>0.73015402265620089</v>
      </c>
      <c r="G47" s="3">
        <v>14857.205453999994</v>
      </c>
      <c r="H47" s="3">
        <v>10848.048327667742</v>
      </c>
      <c r="I47" s="3">
        <v>3762.1114549899994</v>
      </c>
      <c r="J47" s="10">
        <v>2867.29</v>
      </c>
      <c r="K47" s="11">
        <v>27.756250000000001</v>
      </c>
      <c r="L47" s="11">
        <v>4.9707140000000001</v>
      </c>
      <c r="M47" s="10">
        <v>161.13608477193429</v>
      </c>
      <c r="N47" s="10">
        <v>288.45606677380277</v>
      </c>
      <c r="O47" s="14">
        <v>0.2</v>
      </c>
      <c r="P47" s="10">
        <v>65.860847258064538</v>
      </c>
    </row>
    <row r="48" spans="1:16" ht="18">
      <c r="A48" s="2">
        <v>37894</v>
      </c>
      <c r="B48" s="3">
        <v>3111.0019375699999</v>
      </c>
      <c r="C48" s="3">
        <v>832.54483695000022</v>
      </c>
      <c r="D48" s="6">
        <v>0.85291673329374829</v>
      </c>
      <c r="E48" s="6">
        <v>0.88585588711934948</v>
      </c>
      <c r="F48" s="6">
        <f t="shared" si="0"/>
        <v>0.7440656638709422</v>
      </c>
      <c r="G48" s="3">
        <v>14774.240096099997</v>
      </c>
      <c r="H48" s="3">
        <v>10993.004765293337</v>
      </c>
      <c r="I48" s="3">
        <v>3710.7210250600006</v>
      </c>
      <c r="J48" s="10">
        <v>2840.08</v>
      </c>
      <c r="K48" s="11">
        <v>30.418750000000003</v>
      </c>
      <c r="L48" s="11">
        <v>4.6127269999999996</v>
      </c>
      <c r="M48" s="10">
        <v>169.45330562608279</v>
      </c>
      <c r="N48" s="10">
        <v>265.58094874206603</v>
      </c>
      <c r="O48" s="14">
        <v>0.3</v>
      </c>
      <c r="P48" s="10">
        <v>64.191105833333339</v>
      </c>
    </row>
    <row r="49" spans="1:16" ht="18">
      <c r="A49" s="2">
        <v>37925</v>
      </c>
      <c r="B49" s="3">
        <v>3312.7102597999997</v>
      </c>
      <c r="C49" s="3">
        <v>750.6990278799999</v>
      </c>
      <c r="D49" s="6">
        <v>0.88654821080006962</v>
      </c>
      <c r="E49" s="6">
        <v>0.90288636086061369</v>
      </c>
      <c r="F49" s="6">
        <f t="shared" si="0"/>
        <v>0.76965147865372308</v>
      </c>
      <c r="G49" s="3">
        <v>14765.021722999996</v>
      </c>
      <c r="H49" s="3">
        <v>11363.920801461289</v>
      </c>
      <c r="I49" s="3">
        <v>3829.5436836600011</v>
      </c>
      <c r="J49" s="10">
        <v>2876.2</v>
      </c>
      <c r="K49" s="11">
        <v>32.09375</v>
      </c>
      <c r="L49" s="11">
        <v>4.6356520000000003</v>
      </c>
      <c r="M49" s="10">
        <v>213.72073087162062</v>
      </c>
      <c r="N49" s="10">
        <v>245.33441881635216</v>
      </c>
      <c r="O49" s="14">
        <v>0.3</v>
      </c>
      <c r="P49" s="10">
        <v>55.943011483870983</v>
      </c>
    </row>
    <row r="50" spans="1:16" ht="18">
      <c r="A50" s="2">
        <v>37955</v>
      </c>
      <c r="B50" s="3">
        <v>3303.3747750899997</v>
      </c>
      <c r="C50" s="3">
        <v>644.34389007000004</v>
      </c>
      <c r="D50" s="6">
        <v>0.88402652516846492</v>
      </c>
      <c r="E50" s="6">
        <v>0.90474063083754575</v>
      </c>
      <c r="F50" s="6">
        <f t="shared" si="0"/>
        <v>0.81416352774437462</v>
      </c>
      <c r="G50" s="3">
        <v>14765.021722999996</v>
      </c>
      <c r="H50" s="3">
        <v>12021.142173220001</v>
      </c>
      <c r="I50" s="3">
        <v>3702.0119270499999</v>
      </c>
      <c r="J50" s="10">
        <v>2844.55</v>
      </c>
      <c r="K50" s="11">
        <v>34.549999999999997</v>
      </c>
      <c r="L50" s="11">
        <v>4.5274999999999999</v>
      </c>
      <c r="M50" s="10">
        <v>221.88427724886066</v>
      </c>
      <c r="N50" s="10">
        <v>241.37221061339773</v>
      </c>
      <c r="O50" s="14">
        <v>0.4</v>
      </c>
      <c r="P50" s="10">
        <v>64.038050499999997</v>
      </c>
    </row>
    <row r="51" spans="1:16" ht="18">
      <c r="A51" s="2">
        <v>37986</v>
      </c>
      <c r="B51" s="3">
        <v>3341.4787966700005</v>
      </c>
      <c r="C51" s="3">
        <v>735.02699717999985</v>
      </c>
      <c r="D51" s="6">
        <v>0.92255360502724038</v>
      </c>
      <c r="E51" s="6">
        <v>0.96278786916536407</v>
      </c>
      <c r="F51" s="6">
        <f t="shared" si="0"/>
        <v>0.82252635440960187</v>
      </c>
      <c r="G51" s="3">
        <v>15001.47843909678</v>
      </c>
      <c r="H51" s="3">
        <v>12339.111371264518</v>
      </c>
      <c r="I51" s="3">
        <v>3859.0740571200004</v>
      </c>
      <c r="J51" s="10">
        <v>2807.2</v>
      </c>
      <c r="K51" s="11">
        <v>36.34375</v>
      </c>
      <c r="L51" s="11">
        <v>6.1265219999999996</v>
      </c>
      <c r="M51" s="10">
        <v>135.45758976062245</v>
      </c>
      <c r="N51" s="10">
        <v>253.83681899353158</v>
      </c>
      <c r="O51" s="14">
        <v>0.4</v>
      </c>
      <c r="P51" s="10">
        <v>52.815966677419354</v>
      </c>
    </row>
    <row r="52" spans="1:16" ht="18">
      <c r="A52" s="2">
        <v>38017</v>
      </c>
      <c r="B52" s="3">
        <v>3231.763795840001</v>
      </c>
      <c r="C52" s="3">
        <v>735.5484407199998</v>
      </c>
      <c r="D52" s="6">
        <v>0.90076257491643674</v>
      </c>
      <c r="E52" s="6">
        <v>0.94309568080371498</v>
      </c>
      <c r="F52" s="6">
        <f t="shared" si="0"/>
        <v>0.75626860881606606</v>
      </c>
      <c r="G52" s="3">
        <v>15328.880046000004</v>
      </c>
      <c r="H52" s="3">
        <v>11592.750787096778</v>
      </c>
      <c r="I52" s="3">
        <v>3708.1131326699997</v>
      </c>
      <c r="J52" s="10">
        <v>2749.14</v>
      </c>
      <c r="K52" s="11">
        <v>39.5</v>
      </c>
      <c r="L52" s="11">
        <v>6.0947727272699996</v>
      </c>
      <c r="M52" s="10">
        <v>142.92956682023649</v>
      </c>
      <c r="N52" s="10">
        <v>270.08326096165371</v>
      </c>
      <c r="O52" s="14">
        <v>0.4</v>
      </c>
      <c r="P52" s="10">
        <v>59.297022225806444</v>
      </c>
    </row>
    <row r="53" spans="1:16" ht="18">
      <c r="A53" s="2">
        <v>38046</v>
      </c>
      <c r="B53" s="3">
        <v>3048.8258330999993</v>
      </c>
      <c r="C53" s="3">
        <v>836.04915764999964</v>
      </c>
      <c r="D53" s="6">
        <v>0.87309042833152972</v>
      </c>
      <c r="E53" s="6">
        <v>0.91950689750606596</v>
      </c>
      <c r="F53" s="6">
        <f t="shared" si="0"/>
        <v>0.63105724429778054</v>
      </c>
      <c r="G53" s="3">
        <v>15328.880046000004</v>
      </c>
      <c r="H53" s="3">
        <v>9673.4007999999976</v>
      </c>
      <c r="I53" s="3">
        <v>3622.87149107</v>
      </c>
      <c r="J53" s="10">
        <v>2717.94</v>
      </c>
      <c r="K53" s="11">
        <v>42</v>
      </c>
      <c r="L53" s="11">
        <v>5.3795000000000002</v>
      </c>
      <c r="M53" s="10">
        <v>139.60286391164681</v>
      </c>
      <c r="N53" s="10">
        <v>260.66513121284379</v>
      </c>
      <c r="O53" s="14">
        <v>0.3</v>
      </c>
      <c r="P53" s="10">
        <v>70.894559482758623</v>
      </c>
    </row>
    <row r="54" spans="1:16" ht="18">
      <c r="A54" s="2">
        <v>38077</v>
      </c>
      <c r="B54" s="3">
        <v>3155.4868110900002</v>
      </c>
      <c r="C54" s="3">
        <v>1003.6413494300001</v>
      </c>
      <c r="D54" s="6">
        <v>0.83892074588996668</v>
      </c>
      <c r="E54" s="6">
        <v>0.8868318938633617</v>
      </c>
      <c r="F54" s="6">
        <f t="shared" si="0"/>
        <v>0.5441970606778227</v>
      </c>
      <c r="G54" s="3">
        <v>15328.880046000004</v>
      </c>
      <c r="H54" s="3">
        <v>8341.9314645161303</v>
      </c>
      <c r="I54" s="3">
        <v>3901.42101546</v>
      </c>
      <c r="J54" s="10">
        <v>2670.8</v>
      </c>
      <c r="K54" s="11">
        <v>45.71875</v>
      </c>
      <c r="L54" s="11">
        <v>5.3968695652200003</v>
      </c>
      <c r="M54" s="10">
        <v>135.1514618683573</v>
      </c>
      <c r="N54" s="10">
        <v>261.07222990506631</v>
      </c>
      <c r="O54" s="14">
        <v>0.2</v>
      </c>
      <c r="P54" s="10">
        <v>73.805055258064513</v>
      </c>
    </row>
    <row r="55" spans="1:16" ht="18">
      <c r="A55" s="2">
        <v>38107</v>
      </c>
      <c r="B55" s="3">
        <v>3127.2733463399991</v>
      </c>
      <c r="C55" s="3">
        <v>802.73510843000008</v>
      </c>
      <c r="D55" s="6">
        <v>0.84234575400955969</v>
      </c>
      <c r="E55" s="6">
        <v>0.93040071590295992</v>
      </c>
      <c r="F55" s="6">
        <f t="shared" si="0"/>
        <v>0.49286906145163184</v>
      </c>
      <c r="G55" s="3">
        <v>15328.880046000004</v>
      </c>
      <c r="H55" s="3">
        <v>7555.1307213766686</v>
      </c>
      <c r="I55" s="3">
        <v>3684.1493592999996</v>
      </c>
      <c r="J55" s="10">
        <v>2639.6</v>
      </c>
      <c r="K55" s="11">
        <v>50.25</v>
      </c>
      <c r="L55" s="11">
        <v>5.7165217391300001</v>
      </c>
      <c r="M55" s="10">
        <v>134.65811599229292</v>
      </c>
      <c r="N55" s="10">
        <v>292.36246289693565</v>
      </c>
      <c r="O55" s="14">
        <v>0.2</v>
      </c>
      <c r="P55" s="10">
        <v>71.432710499999999</v>
      </c>
    </row>
    <row r="56" spans="1:16" ht="18">
      <c r="A56" s="2">
        <v>38138</v>
      </c>
      <c r="B56" s="3">
        <v>3405.5508319099999</v>
      </c>
      <c r="C56" s="3">
        <v>640.94857825999998</v>
      </c>
      <c r="D56" s="6">
        <v>0.77358004558709348</v>
      </c>
      <c r="E56" s="6">
        <v>0.93023131945735449</v>
      </c>
      <c r="F56" s="6">
        <f t="shared" si="0"/>
        <v>0.57355903810809061</v>
      </c>
      <c r="G56" s="3">
        <v>15328.880046000004</v>
      </c>
      <c r="H56" s="3">
        <v>8792.0176944580653</v>
      </c>
      <c r="I56" s="3">
        <v>3838.6398436200002</v>
      </c>
      <c r="J56" s="10">
        <v>2719.43</v>
      </c>
      <c r="K56" s="11">
        <v>54.5</v>
      </c>
      <c r="L56" s="11">
        <v>6.3359523809500002</v>
      </c>
      <c r="M56" s="10">
        <v>199.70642989562955</v>
      </c>
      <c r="N56" s="10">
        <v>296.74989348462708</v>
      </c>
      <c r="O56" s="14">
        <v>0.2</v>
      </c>
      <c r="P56" s="10">
        <v>73.462657129032266</v>
      </c>
    </row>
    <row r="57" spans="1:16" ht="18">
      <c r="A57" s="2">
        <v>38168</v>
      </c>
      <c r="B57" s="3">
        <v>3091.6954857599999</v>
      </c>
      <c r="C57" s="3">
        <v>766.16441397999984</v>
      </c>
      <c r="D57" s="6">
        <v>0.84604581833566062</v>
      </c>
      <c r="E57" s="6">
        <v>0.88947644176084062</v>
      </c>
      <c r="F57" s="6">
        <f t="shared" si="0"/>
        <v>0.72745936142193901</v>
      </c>
      <c r="G57" s="3">
        <v>15328.880046000004</v>
      </c>
      <c r="H57" s="3">
        <v>11151.137289576665</v>
      </c>
      <c r="I57" s="3">
        <v>3750.15630126</v>
      </c>
      <c r="J57" s="10">
        <v>2716.56</v>
      </c>
      <c r="K57" s="11">
        <v>61.05</v>
      </c>
      <c r="L57" s="11">
        <v>6.2715909090900004</v>
      </c>
      <c r="M57" s="10">
        <v>288.51177003692936</v>
      </c>
      <c r="N57" s="10">
        <v>311.43377557523547</v>
      </c>
      <c r="O57" s="14">
        <v>0.3</v>
      </c>
      <c r="P57" s="10">
        <v>52.642432033333336</v>
      </c>
    </row>
    <row r="58" spans="1:16" ht="18">
      <c r="A58" s="2">
        <v>38199</v>
      </c>
      <c r="B58" s="3">
        <v>3397.80825555</v>
      </c>
      <c r="C58" s="3">
        <v>622.6116033400001</v>
      </c>
      <c r="D58" s="6">
        <v>0.86232641224815987</v>
      </c>
      <c r="E58" s="6">
        <v>0.82751067047529303</v>
      </c>
      <c r="F58" s="6">
        <f t="shared" si="0"/>
        <v>0.78573821146926626</v>
      </c>
      <c r="G58" s="3">
        <v>15328.880046000004</v>
      </c>
      <c r="H58" s="3">
        <v>12044.486791170966</v>
      </c>
      <c r="I58" s="3">
        <v>3832.5055105800011</v>
      </c>
      <c r="J58" s="10">
        <v>2653.32</v>
      </c>
      <c r="K58" s="11">
        <v>64.9375</v>
      </c>
      <c r="L58" s="11">
        <v>5.9286363636399999</v>
      </c>
      <c r="M58" s="10">
        <v>286.30401539492999</v>
      </c>
      <c r="N58" s="10">
        <v>313.28749230398836</v>
      </c>
      <c r="O58" s="14">
        <v>0.5</v>
      </c>
      <c r="P58" s="10">
        <v>53.600027064516119</v>
      </c>
    </row>
    <row r="59" spans="1:16" ht="18">
      <c r="A59" s="2">
        <v>38230</v>
      </c>
      <c r="B59" s="3">
        <v>3458.4245189200001</v>
      </c>
      <c r="C59" s="3">
        <v>656.91746364000016</v>
      </c>
      <c r="D59" s="6">
        <v>0.85736361459481436</v>
      </c>
      <c r="E59" s="6">
        <v>0.76776900679150861</v>
      </c>
      <c r="F59" s="6">
        <f t="shared" si="0"/>
        <v>0.81176903973944614</v>
      </c>
      <c r="G59" s="3">
        <v>15328.880046000004</v>
      </c>
      <c r="H59" s="3">
        <v>12443.51023522258</v>
      </c>
      <c r="I59" s="3">
        <v>3911.1997832600009</v>
      </c>
      <c r="J59" s="10">
        <v>2598.59</v>
      </c>
      <c r="K59" s="11">
        <v>61.4375</v>
      </c>
      <c r="L59" s="11">
        <v>5.3956818181799999</v>
      </c>
      <c r="M59" s="10">
        <v>295.76078546801011</v>
      </c>
      <c r="N59" s="10">
        <v>301.86727929566541</v>
      </c>
      <c r="O59" s="14">
        <v>0.6</v>
      </c>
      <c r="P59" s="10">
        <v>54.712644741935478</v>
      </c>
    </row>
    <row r="60" spans="1:16" ht="18">
      <c r="A60" s="2">
        <v>38260</v>
      </c>
      <c r="B60" s="3">
        <v>3204.7607842399998</v>
      </c>
      <c r="C60" s="3">
        <v>792.53500378000012</v>
      </c>
      <c r="D60" s="6">
        <v>0.81146501264371385</v>
      </c>
      <c r="E60" s="6">
        <v>0.797181346905805</v>
      </c>
      <c r="F60" s="6">
        <f t="shared" si="0"/>
        <v>0.82802322627469127</v>
      </c>
      <c r="G60" s="3">
        <v>15328.880046000004</v>
      </c>
      <c r="H60" s="3">
        <v>12692.668710866661</v>
      </c>
      <c r="I60" s="3">
        <v>3803.4006398800002</v>
      </c>
      <c r="J60" s="10">
        <v>2552.7800000000002</v>
      </c>
      <c r="K60" s="11">
        <v>58.1875</v>
      </c>
      <c r="L60" s="11">
        <v>5.13886363636</v>
      </c>
      <c r="M60" s="10">
        <v>346.37334632278839</v>
      </c>
      <c r="N60" s="10">
        <v>271.89717658900724</v>
      </c>
      <c r="O60" s="14">
        <v>0.7</v>
      </c>
      <c r="P60" s="10">
        <v>61.259208666666659</v>
      </c>
    </row>
    <row r="61" spans="1:16" ht="18">
      <c r="A61" s="2">
        <v>38291</v>
      </c>
      <c r="B61" s="3">
        <v>3518.2062116899997</v>
      </c>
      <c r="C61" s="3">
        <v>615.05076696000003</v>
      </c>
      <c r="D61" s="6">
        <v>0.81545538933728112</v>
      </c>
      <c r="E61" s="6">
        <v>0.85769729111814652</v>
      </c>
      <c r="F61" s="6">
        <f t="shared" si="0"/>
        <v>0.83714326966575459</v>
      </c>
      <c r="G61" s="3">
        <v>15328.880046000004</v>
      </c>
      <c r="H61" s="3">
        <v>12832.468762022585</v>
      </c>
      <c r="I61" s="3">
        <v>3890.4502303300005</v>
      </c>
      <c r="J61" s="10">
        <v>2580.6999999999998</v>
      </c>
      <c r="K61" s="11">
        <v>58.15625</v>
      </c>
      <c r="L61" s="11">
        <v>6.4116666666700004</v>
      </c>
      <c r="M61" s="10">
        <v>335.36531752487116</v>
      </c>
      <c r="N61" s="10">
        <v>317.28911645384215</v>
      </c>
      <c r="O61" s="14">
        <v>0.7</v>
      </c>
      <c r="P61" s="10">
        <v>72.743955483870977</v>
      </c>
    </row>
    <row r="62" spans="1:16" ht="18">
      <c r="A62" s="2">
        <v>38321</v>
      </c>
      <c r="B62" s="3">
        <v>3657.8332526300005</v>
      </c>
      <c r="C62" s="3">
        <v>402.93215472999998</v>
      </c>
      <c r="D62" s="6">
        <v>0.87291751881535773</v>
      </c>
      <c r="E62" s="6">
        <v>0.87304318749812948</v>
      </c>
      <c r="F62" s="6">
        <f t="shared" si="0"/>
        <v>0.86459782422531439</v>
      </c>
      <c r="G62" s="3">
        <v>15326.143072200004</v>
      </c>
      <c r="H62" s="3">
        <v>13250.949953989999</v>
      </c>
      <c r="I62" s="3">
        <v>3816.4863960399998</v>
      </c>
      <c r="J62" s="10">
        <v>2530.19</v>
      </c>
      <c r="K62" s="11">
        <v>56.787500000000001</v>
      </c>
      <c r="L62" s="11">
        <v>6.0870454545500001</v>
      </c>
      <c r="M62" s="10">
        <v>322.71017527081625</v>
      </c>
      <c r="N62" s="10">
        <v>336.75939529742283</v>
      </c>
      <c r="O62" s="14">
        <v>0.7</v>
      </c>
      <c r="P62" s="10">
        <v>68.455841899999996</v>
      </c>
    </row>
    <row r="63" spans="1:16" ht="18">
      <c r="A63" s="2">
        <v>38352</v>
      </c>
      <c r="B63" s="3">
        <v>3551.0410566700007</v>
      </c>
      <c r="C63" s="3">
        <v>671.63339554999993</v>
      </c>
      <c r="D63" s="6">
        <v>0.90798406756240357</v>
      </c>
      <c r="E63" s="6">
        <v>0.96499541227144203</v>
      </c>
      <c r="F63" s="6">
        <f t="shared" si="0"/>
        <v>0.84330599913989068</v>
      </c>
      <c r="G63" s="3">
        <v>15245.207416903229</v>
      </c>
      <c r="H63" s="3">
        <v>12856.374872806449</v>
      </c>
      <c r="I63" s="3">
        <v>3973.4166523900003</v>
      </c>
      <c r="J63" s="10">
        <v>2411.37</v>
      </c>
      <c r="K63" s="11">
        <v>53.268749999999997</v>
      </c>
      <c r="L63" s="11">
        <v>6.5813043478299997</v>
      </c>
      <c r="M63" s="10">
        <v>343.73931549505875</v>
      </c>
      <c r="N63" s="10">
        <v>303.45106780160228</v>
      </c>
      <c r="O63" s="14">
        <v>0.7</v>
      </c>
      <c r="P63" s="10">
        <v>68.495261709677408</v>
      </c>
    </row>
    <row r="64" spans="1:16" ht="18">
      <c r="A64" s="2">
        <v>38383</v>
      </c>
      <c r="B64" s="3">
        <v>3394.1341410199998</v>
      </c>
      <c r="C64" s="3">
        <v>702.74181111000007</v>
      </c>
      <c r="D64" s="6">
        <v>0.89846624275169096</v>
      </c>
      <c r="E64" s="6">
        <v>0.96820355070301922</v>
      </c>
      <c r="F64" s="6">
        <f t="shared" si="0"/>
        <v>0.77017486308209882</v>
      </c>
      <c r="G64" s="3">
        <v>15244.567838000004</v>
      </c>
      <c r="H64" s="3">
        <v>11740.982947377421</v>
      </c>
      <c r="I64" s="3">
        <v>3841.4850886899999</v>
      </c>
      <c r="J64" s="10">
        <v>2362.96</v>
      </c>
      <c r="K64" s="11">
        <v>52.231250000000003</v>
      </c>
      <c r="L64" s="11">
        <v>6.1545238095199997</v>
      </c>
      <c r="M64" s="10">
        <v>270.49259952451985</v>
      </c>
      <c r="N64" s="10">
        <v>276.85656020597281</v>
      </c>
      <c r="O64" s="14">
        <v>0.6</v>
      </c>
      <c r="P64" s="10">
        <v>83.585918483870969</v>
      </c>
    </row>
    <row r="65" spans="1:16" ht="18">
      <c r="A65" s="2">
        <v>38411</v>
      </c>
      <c r="B65" s="3">
        <v>3156.59046033</v>
      </c>
      <c r="C65" s="3">
        <v>664.55071454000006</v>
      </c>
      <c r="D65" s="6">
        <v>0.8624470345834705</v>
      </c>
      <c r="E65" s="6">
        <v>0.96383687804631235</v>
      </c>
      <c r="F65" s="6">
        <f t="shared" si="0"/>
        <v>0.68054441743926064</v>
      </c>
      <c r="G65" s="3">
        <v>15244.567838000003</v>
      </c>
      <c r="H65" s="3">
        <v>10374.605538425001</v>
      </c>
      <c r="I65" s="3">
        <v>3607.95312672</v>
      </c>
      <c r="J65" s="10">
        <v>2340.4899999999998</v>
      </c>
      <c r="K65" s="11">
        <v>48.261250000000004</v>
      </c>
      <c r="L65" s="11">
        <v>6.1447500000000002</v>
      </c>
      <c r="M65" s="10">
        <v>291.00356967382334</v>
      </c>
      <c r="N65" s="10">
        <v>278.56149078611276</v>
      </c>
      <c r="O65" s="14">
        <v>0.6</v>
      </c>
      <c r="P65" s="10">
        <v>74.880882428571439</v>
      </c>
    </row>
    <row r="66" spans="1:16" ht="18">
      <c r="A66" s="2">
        <v>38442</v>
      </c>
      <c r="B66" s="3">
        <v>3452.3239917600004</v>
      </c>
      <c r="C66" s="3">
        <v>714.79614499000002</v>
      </c>
      <c r="D66" s="6">
        <v>0.8752965761607665</v>
      </c>
      <c r="E66" s="6">
        <v>0.95171505732645589</v>
      </c>
      <c r="F66" s="6">
        <f t="shared" si="0"/>
        <v>0.56262507415883833</v>
      </c>
      <c r="G66" s="3">
        <v>15244.567838000004</v>
      </c>
      <c r="H66" s="3">
        <v>8576.9761103741948</v>
      </c>
      <c r="I66" s="3">
        <v>3977.9469103199999</v>
      </c>
      <c r="J66" s="10">
        <v>2353.71</v>
      </c>
      <c r="K66" s="11">
        <v>48.112499999999997</v>
      </c>
      <c r="L66" s="11">
        <v>6.9680434782600003</v>
      </c>
      <c r="M66" s="10">
        <v>334.55302535894089</v>
      </c>
      <c r="N66" s="10">
        <v>310.78920017712414</v>
      </c>
      <c r="O66" s="14">
        <v>0.4</v>
      </c>
      <c r="P66" s="10">
        <v>70.000196129032261</v>
      </c>
    </row>
    <row r="67" spans="1:16" ht="18">
      <c r="A67" s="2">
        <v>38472</v>
      </c>
      <c r="B67" s="3">
        <v>3285.1778510700001</v>
      </c>
      <c r="C67" s="3">
        <v>842.77048475000015</v>
      </c>
      <c r="D67" s="6">
        <v>0.85334002749584481</v>
      </c>
      <c r="E67" s="6">
        <v>0.94528873742798303</v>
      </c>
      <c r="F67" s="6">
        <f t="shared" si="0"/>
        <v>0.48992388323659497</v>
      </c>
      <c r="G67" s="3">
        <v>15244.567838000004</v>
      </c>
      <c r="H67" s="3">
        <v>7468.6778734566651</v>
      </c>
      <c r="I67" s="3">
        <v>3944.1219072600006</v>
      </c>
      <c r="J67" s="10">
        <v>2350.0100000000002</v>
      </c>
      <c r="K67" s="11">
        <v>48.75</v>
      </c>
      <c r="L67" s="11">
        <v>7.15261904762</v>
      </c>
      <c r="M67" s="10">
        <v>332.2376502618992</v>
      </c>
      <c r="N67" s="10">
        <v>295.77234624049021</v>
      </c>
      <c r="O67" s="14">
        <v>0.4</v>
      </c>
      <c r="P67" s="10">
        <v>69.115310033333344</v>
      </c>
    </row>
    <row r="68" spans="1:16" ht="18">
      <c r="A68" s="2">
        <v>38503</v>
      </c>
      <c r="B68" s="3">
        <v>3611.7428517300004</v>
      </c>
      <c r="C68" s="3">
        <v>619.46140275000016</v>
      </c>
      <c r="D68" s="6">
        <v>0.84424938045937525</v>
      </c>
      <c r="E68" s="6">
        <v>0.9263409100235479</v>
      </c>
      <c r="F68" s="6">
        <f t="shared" ref="F68:F131" si="1">H68/G68</f>
        <v>0.52630663278036804</v>
      </c>
      <c r="G68" s="3">
        <v>15244.567838000004</v>
      </c>
      <c r="H68" s="3">
        <v>8023.3171670096772</v>
      </c>
      <c r="I68" s="3">
        <v>4000.7882872200007</v>
      </c>
      <c r="J68" s="10">
        <v>2339.2199999999998</v>
      </c>
      <c r="K68" s="11">
        <v>48.59375</v>
      </c>
      <c r="L68" s="11">
        <v>6.4693181818200003</v>
      </c>
      <c r="M68" s="10">
        <v>273.04464404256913</v>
      </c>
      <c r="N68" s="10">
        <v>308.17752342266942</v>
      </c>
      <c r="O68" s="14">
        <v>0.3</v>
      </c>
      <c r="P68" s="10">
        <v>70.176607419354838</v>
      </c>
    </row>
    <row r="69" spans="1:16" ht="18">
      <c r="A69" s="2">
        <v>38533</v>
      </c>
      <c r="B69" s="3">
        <v>3428.7809926500004</v>
      </c>
      <c r="C69" s="3">
        <v>671.34642233000011</v>
      </c>
      <c r="D69" s="6">
        <v>0.8629368323228499</v>
      </c>
      <c r="E69" s="6">
        <v>0.87106974819148308</v>
      </c>
      <c r="F69" s="6">
        <f t="shared" si="1"/>
        <v>0.62568084614141206</v>
      </c>
      <c r="G69" s="3">
        <v>15244.567838000004</v>
      </c>
      <c r="H69" s="3">
        <v>9538.2341039399998</v>
      </c>
      <c r="I69" s="3">
        <v>3902.895421369999</v>
      </c>
      <c r="J69" s="10">
        <v>2331.79</v>
      </c>
      <c r="K69" s="11">
        <v>50.0625</v>
      </c>
      <c r="L69" s="11">
        <v>7.1861363636400002</v>
      </c>
      <c r="M69" s="10">
        <v>292.00355955856918</v>
      </c>
      <c r="N69" s="10">
        <v>312.32094209155508</v>
      </c>
      <c r="O69" s="14">
        <v>0.1</v>
      </c>
      <c r="P69" s="10">
        <v>60.338798133333334</v>
      </c>
    </row>
    <row r="70" spans="1:16" ht="18">
      <c r="A70" s="2">
        <v>38564</v>
      </c>
      <c r="B70" s="3">
        <v>3409.4597311200005</v>
      </c>
      <c r="C70" s="3">
        <v>817.60382156999992</v>
      </c>
      <c r="D70" s="6">
        <v>0.82953525022804686</v>
      </c>
      <c r="E70" s="6">
        <v>0.88814854861193526</v>
      </c>
      <c r="F70" s="6">
        <f t="shared" si="1"/>
        <v>0.62469661937949628</v>
      </c>
      <c r="G70" s="3">
        <v>15244.567838000004</v>
      </c>
      <c r="H70" s="3">
        <v>9523.2299922999991</v>
      </c>
      <c r="I70" s="3">
        <v>3985.1983421500004</v>
      </c>
      <c r="J70" s="10">
        <v>2323.38</v>
      </c>
      <c r="K70" s="11">
        <v>51.106250000000003</v>
      </c>
      <c r="L70" s="11">
        <v>7.6261904761899997</v>
      </c>
      <c r="M70" s="10">
        <v>234.83578570210639</v>
      </c>
      <c r="N70" s="10">
        <v>301.96682138924018</v>
      </c>
      <c r="O70" s="14">
        <v>-0.1</v>
      </c>
      <c r="P70" s="10">
        <v>78.473643548387074</v>
      </c>
    </row>
    <row r="71" spans="1:16" ht="18">
      <c r="A71" s="2">
        <v>38595</v>
      </c>
      <c r="B71" s="3">
        <v>3328.0265009899999</v>
      </c>
      <c r="C71" s="3">
        <v>1014.2300192500001</v>
      </c>
      <c r="D71" s="6">
        <v>0.82598379334177829</v>
      </c>
      <c r="E71" s="6">
        <v>0.90432747536789349</v>
      </c>
      <c r="F71" s="6">
        <f t="shared" si="1"/>
        <v>0.63921569022991676</v>
      </c>
      <c r="G71" s="3">
        <v>15244.170798645162</v>
      </c>
      <c r="H71" s="3">
        <v>9744.3131590387093</v>
      </c>
      <c r="I71" s="3">
        <v>4089.457631669999</v>
      </c>
      <c r="J71" s="10">
        <v>2306.19</v>
      </c>
      <c r="K71" s="11">
        <v>49.3125</v>
      </c>
      <c r="L71" s="11">
        <v>9.6297826086999994</v>
      </c>
      <c r="M71" s="10">
        <v>161.52042880376288</v>
      </c>
      <c r="N71" s="10">
        <v>291.96213950248182</v>
      </c>
      <c r="O71" s="14">
        <v>-0.1</v>
      </c>
      <c r="P71" s="10">
        <v>86.822759741935485</v>
      </c>
    </row>
    <row r="72" spans="1:16" ht="18">
      <c r="A72" s="2">
        <v>38625</v>
      </c>
      <c r="B72" s="3">
        <v>3149.2972164099992</v>
      </c>
      <c r="C72" s="3">
        <v>1100.1772207199999</v>
      </c>
      <c r="D72" s="6">
        <v>0.8128807938225866</v>
      </c>
      <c r="E72" s="6">
        <v>0.85848355639855667</v>
      </c>
      <c r="F72" s="6">
        <f t="shared" si="1"/>
        <v>0.67805134360482722</v>
      </c>
      <c r="G72" s="3">
        <v>15243.337016000003</v>
      </c>
      <c r="H72" s="3">
        <v>10335.765144720001</v>
      </c>
      <c r="I72" s="3">
        <v>4009.46212044</v>
      </c>
      <c r="J72" s="10">
        <v>2294.52</v>
      </c>
      <c r="K72" s="11">
        <v>45.9375</v>
      </c>
      <c r="L72" s="11">
        <v>12.87568181818</v>
      </c>
      <c r="M72" s="10">
        <v>168.71286187724067</v>
      </c>
      <c r="N72" s="10">
        <v>328.01800213809798</v>
      </c>
      <c r="O72" s="14">
        <v>-0.1</v>
      </c>
      <c r="P72" s="10">
        <v>88.550734399999982</v>
      </c>
    </row>
    <row r="73" spans="1:16" ht="18">
      <c r="A73" s="2">
        <v>38656</v>
      </c>
      <c r="B73" s="3">
        <v>3643.7594712799996</v>
      </c>
      <c r="C73" s="3">
        <v>673.20652279000012</v>
      </c>
      <c r="D73" s="6">
        <v>0.84607453603339355</v>
      </c>
      <c r="E73" s="6">
        <v>0.84965439674836774</v>
      </c>
      <c r="F73" s="6">
        <f t="shared" si="1"/>
        <v>0.71179517607647513</v>
      </c>
      <c r="G73" s="3">
        <v>15243.337016000003</v>
      </c>
      <c r="H73" s="3">
        <v>10850.133755296773</v>
      </c>
      <c r="I73" s="3">
        <v>4039.0331649299997</v>
      </c>
      <c r="J73" s="10">
        <v>2292.5500000000002</v>
      </c>
      <c r="K73" s="11">
        <v>42.854166666665002</v>
      </c>
      <c r="L73" s="11">
        <v>13.522619047619999</v>
      </c>
      <c r="M73" s="10">
        <v>217.79075937855688</v>
      </c>
      <c r="N73" s="10">
        <v>345.50136675664567</v>
      </c>
      <c r="O73" s="14">
        <v>-0.3</v>
      </c>
      <c r="P73" s="10">
        <v>82.471359870967746</v>
      </c>
    </row>
    <row r="74" spans="1:16" ht="18">
      <c r="A74" s="2">
        <v>38686</v>
      </c>
      <c r="B74" s="3">
        <v>3626.01938105</v>
      </c>
      <c r="C74" s="3">
        <v>605.75292298000022</v>
      </c>
      <c r="D74" s="6">
        <v>0.88393154190480316</v>
      </c>
      <c r="E74" s="6">
        <v>0.84874867963669687</v>
      </c>
      <c r="F74" s="6">
        <f t="shared" si="1"/>
        <v>0.8054342058457975</v>
      </c>
      <c r="G74" s="3">
        <v>15239.598815966669</v>
      </c>
      <c r="H74" s="3">
        <v>12274.494169746669</v>
      </c>
      <c r="I74" s="3">
        <v>3967.7951922699999</v>
      </c>
      <c r="J74" s="10">
        <v>2279.85</v>
      </c>
      <c r="K74" s="11">
        <v>38.072916666665002</v>
      </c>
      <c r="L74" s="11">
        <v>10.430909090909999</v>
      </c>
      <c r="M74" s="10">
        <v>307.90911318750057</v>
      </c>
      <c r="N74" s="10">
        <v>354.68604078513113</v>
      </c>
      <c r="O74" s="14">
        <v>-0.6</v>
      </c>
      <c r="P74" s="10">
        <v>58.443102533333324</v>
      </c>
    </row>
    <row r="75" spans="1:16" ht="18">
      <c r="A75" s="2">
        <v>38717</v>
      </c>
      <c r="B75" s="3">
        <v>3493.6416218400004</v>
      </c>
      <c r="C75" s="3">
        <v>865.45951095000009</v>
      </c>
      <c r="D75" s="6">
        <v>0.91287116982116034</v>
      </c>
      <c r="E75" s="6">
        <v>0.8990976958002832</v>
      </c>
      <c r="F75" s="6">
        <f t="shared" si="1"/>
        <v>0.8093859558549763</v>
      </c>
      <c r="G75" s="3">
        <v>15131.191014999993</v>
      </c>
      <c r="H75" s="3">
        <v>12246.973502899998</v>
      </c>
      <c r="I75" s="3">
        <v>4144.2148497599992</v>
      </c>
      <c r="J75" s="10">
        <v>2278.91</v>
      </c>
      <c r="K75" s="11">
        <v>39.612499999999997</v>
      </c>
      <c r="L75" s="11">
        <v>12.827500000000001</v>
      </c>
      <c r="M75" s="10">
        <v>197.65322392493454</v>
      </c>
      <c r="N75" s="10">
        <v>355.9695652531467</v>
      </c>
      <c r="O75" s="14">
        <v>-0.8</v>
      </c>
      <c r="P75" s="10">
        <v>80.955268838709671</v>
      </c>
    </row>
    <row r="76" spans="1:16" ht="18">
      <c r="A76" s="2">
        <v>38748</v>
      </c>
      <c r="B76" s="3">
        <v>3574.6904497400005</v>
      </c>
      <c r="C76" s="3">
        <v>665.27219017999994</v>
      </c>
      <c r="D76" s="6">
        <v>0.91781378283081327</v>
      </c>
      <c r="E76" s="6">
        <v>0.8922042703648847</v>
      </c>
      <c r="F76" s="6">
        <f t="shared" si="1"/>
        <v>0.73850319092229511</v>
      </c>
      <c r="G76" s="3">
        <v>15131.191014999993</v>
      </c>
      <c r="H76" s="3">
        <v>11174.432847032256</v>
      </c>
      <c r="I76" s="3">
        <v>3979.5057557300001</v>
      </c>
      <c r="J76" s="10">
        <v>2273.66</v>
      </c>
      <c r="K76" s="11">
        <v>43.924999999999997</v>
      </c>
      <c r="L76" s="11">
        <v>8.6609090909099997</v>
      </c>
      <c r="M76" s="10">
        <v>152.38385047456944</v>
      </c>
      <c r="N76" s="10">
        <v>365.47384442893889</v>
      </c>
      <c r="O76" s="14">
        <v>-0.9</v>
      </c>
      <c r="P76" s="10">
        <v>79.634663161290348</v>
      </c>
    </row>
    <row r="77" spans="1:16" ht="18">
      <c r="A77" s="2">
        <v>38776</v>
      </c>
      <c r="B77" s="3">
        <v>3397.2890097099998</v>
      </c>
      <c r="C77" s="3">
        <v>609.8201095899999</v>
      </c>
      <c r="D77" s="6">
        <v>0.87431116581438439</v>
      </c>
      <c r="E77" s="6">
        <v>0.91618310414085991</v>
      </c>
      <c r="F77" s="6">
        <f t="shared" si="1"/>
        <v>0.63467026792357628</v>
      </c>
      <c r="G77" s="3">
        <v>15131.191014999993</v>
      </c>
      <c r="H77" s="3">
        <v>9603.3170554928565</v>
      </c>
      <c r="I77" s="3">
        <v>3774.8047390000002</v>
      </c>
      <c r="J77" s="10">
        <v>2256.2399999999998</v>
      </c>
      <c r="K77" s="11">
        <v>48.55</v>
      </c>
      <c r="L77" s="11">
        <v>7.4878571428600003</v>
      </c>
      <c r="M77" s="10">
        <v>171.12132401816788</v>
      </c>
      <c r="N77" s="10">
        <v>355.13087389914784</v>
      </c>
      <c r="O77" s="14">
        <v>-0.8</v>
      </c>
      <c r="P77" s="10">
        <v>76.476316571428569</v>
      </c>
    </row>
    <row r="78" spans="1:16" ht="18">
      <c r="A78" s="2">
        <v>38807</v>
      </c>
      <c r="B78" s="3">
        <v>3417.1443372399995</v>
      </c>
      <c r="C78" s="3">
        <v>967.30901083000003</v>
      </c>
      <c r="D78" s="6">
        <v>0.86893397690087271</v>
      </c>
      <c r="E78" s="6">
        <v>0.92736798089409911</v>
      </c>
      <c r="F78" s="6">
        <f t="shared" si="1"/>
        <v>0.54372155847367809</v>
      </c>
      <c r="G78" s="3">
        <v>15131.191014999993</v>
      </c>
      <c r="H78" s="3">
        <v>8227.1547602387109</v>
      </c>
      <c r="I78" s="3">
        <v>4164.1484918899996</v>
      </c>
      <c r="J78" s="10">
        <v>2262.36</v>
      </c>
      <c r="K78" s="11">
        <v>52.125</v>
      </c>
      <c r="L78" s="11">
        <v>6.8989130434800003</v>
      </c>
      <c r="M78" s="10">
        <v>173.88672936740679</v>
      </c>
      <c r="N78" s="10">
        <v>342.34537886156994</v>
      </c>
      <c r="O78" s="14">
        <v>-0.6</v>
      </c>
      <c r="P78" s="10">
        <v>66.909141387096781</v>
      </c>
    </row>
    <row r="79" spans="1:16" ht="18">
      <c r="A79" s="2">
        <v>38837</v>
      </c>
      <c r="B79" s="3">
        <v>3452.0638042300002</v>
      </c>
      <c r="C79" s="3">
        <v>693.64293811000005</v>
      </c>
      <c r="D79" s="6">
        <v>0.87310296452596414</v>
      </c>
      <c r="E79" s="6">
        <v>0.90234097918150558</v>
      </c>
      <c r="F79" s="6">
        <f t="shared" si="1"/>
        <v>0.56396716033834748</v>
      </c>
      <c r="G79" s="3">
        <v>15131.191014999993</v>
      </c>
      <c r="H79" s="3">
        <v>8533.4948292666631</v>
      </c>
      <c r="I79" s="3">
        <v>3941.8824510600002</v>
      </c>
      <c r="J79" s="10">
        <v>2334.29</v>
      </c>
      <c r="K79" s="11">
        <v>53.875</v>
      </c>
      <c r="L79" s="11">
        <v>7.0940000000000003</v>
      </c>
      <c r="M79" s="10">
        <v>237.75357368927379</v>
      </c>
      <c r="N79" s="10">
        <v>344.67449544211235</v>
      </c>
      <c r="O79" s="14">
        <v>-0.4</v>
      </c>
      <c r="P79" s="10">
        <v>55.311835133333339</v>
      </c>
    </row>
    <row r="80" spans="1:16" ht="18">
      <c r="A80" s="2">
        <v>38868</v>
      </c>
      <c r="B80" s="3">
        <v>3635.3531828299992</v>
      </c>
      <c r="C80" s="3">
        <v>715.71268117</v>
      </c>
      <c r="D80" s="6">
        <v>0.87904093493853486</v>
      </c>
      <c r="E80" s="6">
        <v>0.92163191054011129</v>
      </c>
      <c r="F80" s="6">
        <f t="shared" si="1"/>
        <v>0.69396284165390432</v>
      </c>
      <c r="G80" s="3">
        <v>15131.191014999993</v>
      </c>
      <c r="H80" s="3">
        <v>10500.48431437742</v>
      </c>
      <c r="I80" s="3">
        <v>4185.8746225699997</v>
      </c>
      <c r="J80" s="10">
        <v>2417.9899999999998</v>
      </c>
      <c r="K80" s="11">
        <v>51.5</v>
      </c>
      <c r="L80" s="11">
        <v>6.1980434782599998</v>
      </c>
      <c r="M80" s="10">
        <v>236.20766271178024</v>
      </c>
      <c r="N80" s="10">
        <v>372.38480265597622</v>
      </c>
      <c r="O80" s="14">
        <v>-0.1</v>
      </c>
      <c r="P80" s="10">
        <v>54.987446290322588</v>
      </c>
    </row>
    <row r="81" spans="1:16" ht="18">
      <c r="A81" s="2">
        <v>38898</v>
      </c>
      <c r="B81" s="3">
        <v>3673.0772737799989</v>
      </c>
      <c r="C81" s="3">
        <v>573.67182217000004</v>
      </c>
      <c r="D81" s="6">
        <v>0.83845478529075224</v>
      </c>
      <c r="E81" s="6">
        <v>0.88812481323766856</v>
      </c>
      <c r="F81" s="6">
        <f t="shared" si="1"/>
        <v>0.78616012748264641</v>
      </c>
      <c r="G81" s="3">
        <v>15131.191014999993</v>
      </c>
      <c r="H81" s="3">
        <v>11895.539057316668</v>
      </c>
      <c r="I81" s="3">
        <v>4043.26361662</v>
      </c>
      <c r="J81" s="10">
        <v>2542.2399999999998</v>
      </c>
      <c r="K81" s="11">
        <v>52.375</v>
      </c>
      <c r="L81" s="11">
        <v>6.1931818181800002</v>
      </c>
      <c r="M81" s="10">
        <v>244.02664646464643</v>
      </c>
      <c r="N81" s="10">
        <v>371.8630710185073</v>
      </c>
      <c r="O81" s="14">
        <v>0</v>
      </c>
      <c r="P81" s="10">
        <v>54.999858000000003</v>
      </c>
    </row>
    <row r="82" spans="1:16" ht="18">
      <c r="A82" s="2">
        <v>38929</v>
      </c>
      <c r="B82" s="3">
        <v>3843.3058632599996</v>
      </c>
      <c r="C82" s="3">
        <v>598.00533369999982</v>
      </c>
      <c r="D82" s="6">
        <v>0.81718695137253983</v>
      </c>
      <c r="E82" s="6">
        <v>0.9182961430096459</v>
      </c>
      <c r="F82" s="6">
        <f t="shared" si="1"/>
        <v>0.81992328477014009</v>
      </c>
      <c r="G82" s="3">
        <v>15131.191014999993</v>
      </c>
      <c r="H82" s="3">
        <v>12406.415839503225</v>
      </c>
      <c r="I82" s="3">
        <v>4195.0465588299994</v>
      </c>
      <c r="J82" s="10">
        <v>2511.7399999999998</v>
      </c>
      <c r="K82" s="11">
        <v>52.215000000000003</v>
      </c>
      <c r="L82" s="11">
        <v>6.25</v>
      </c>
      <c r="M82" s="10">
        <v>194.38282208845681</v>
      </c>
      <c r="N82" s="10">
        <v>348.32386442547374</v>
      </c>
      <c r="O82" s="14">
        <v>0.1</v>
      </c>
      <c r="P82" s="10">
        <v>62.339197548387084</v>
      </c>
    </row>
    <row r="83" spans="1:16" ht="18">
      <c r="A83" s="2">
        <v>38960</v>
      </c>
      <c r="B83" s="3">
        <v>3682.9004609900003</v>
      </c>
      <c r="C83" s="3">
        <v>803.19637190999993</v>
      </c>
      <c r="D83" s="6">
        <v>0.8100953058178072</v>
      </c>
      <c r="E83" s="6">
        <v>0.90734987896338481</v>
      </c>
      <c r="F83" s="6">
        <f t="shared" si="1"/>
        <v>0.8121605778955483</v>
      </c>
      <c r="G83" s="3">
        <v>15131.191014999993</v>
      </c>
      <c r="H83" s="3">
        <v>12288.956838990322</v>
      </c>
      <c r="I83" s="3">
        <v>4256.0556404899999</v>
      </c>
      <c r="J83" s="10">
        <v>2389.65</v>
      </c>
      <c r="K83" s="11">
        <v>52.262500000000003</v>
      </c>
      <c r="L83" s="11">
        <v>6.9950000000000001</v>
      </c>
      <c r="M83" s="10">
        <v>194.98782375146089</v>
      </c>
      <c r="N83" s="10">
        <v>364.13046563063335</v>
      </c>
      <c r="O83" s="14">
        <v>0.3</v>
      </c>
      <c r="P83" s="10">
        <v>68.084612741935473</v>
      </c>
    </row>
    <row r="84" spans="1:16" ht="18">
      <c r="A84" s="2">
        <v>38990</v>
      </c>
      <c r="B84" s="3">
        <v>3352.90553856</v>
      </c>
      <c r="C84" s="3">
        <v>1068.5296485700001</v>
      </c>
      <c r="D84" s="6">
        <v>0.79986032094938353</v>
      </c>
      <c r="E84" s="6">
        <v>0.84887791311142713</v>
      </c>
      <c r="F84" s="6">
        <f t="shared" si="1"/>
        <v>0.7883205277706512</v>
      </c>
      <c r="G84" s="3">
        <v>15131.191014999993</v>
      </c>
      <c r="H84" s="3">
        <v>11928.22848674333</v>
      </c>
      <c r="I84" s="3">
        <v>4175.8811932799999</v>
      </c>
      <c r="J84" s="10">
        <v>2398.88</v>
      </c>
      <c r="K84" s="11">
        <v>47.924999999999997</v>
      </c>
      <c r="L84" s="11">
        <v>4.8623809523799997</v>
      </c>
      <c r="M84" s="10">
        <v>139.99243844767386</v>
      </c>
      <c r="N84" s="10">
        <v>324.58530968269787</v>
      </c>
      <c r="O84" s="14">
        <v>0.5</v>
      </c>
      <c r="P84" s="10">
        <v>105.22009216666666</v>
      </c>
    </row>
    <row r="85" spans="1:16" ht="18">
      <c r="A85" s="2">
        <v>39021</v>
      </c>
      <c r="B85" s="3">
        <v>3380.371020380001</v>
      </c>
      <c r="C85" s="3">
        <v>1182.6076283299999</v>
      </c>
      <c r="D85" s="6">
        <v>0.80567710811459958</v>
      </c>
      <c r="E85" s="6">
        <v>0.80988527671633137</v>
      </c>
      <c r="F85" s="6">
        <f t="shared" si="1"/>
        <v>0.79674904884715125</v>
      </c>
      <c r="G85" s="3">
        <v>15131.191014999993</v>
      </c>
      <c r="H85" s="3">
        <v>12055.762049125806</v>
      </c>
      <c r="I85" s="3">
        <v>4314.1916563900013</v>
      </c>
      <c r="J85" s="10">
        <v>2364.29</v>
      </c>
      <c r="K85" s="11">
        <v>46.631249999999994</v>
      </c>
      <c r="L85" s="11">
        <v>5.9625000000000004</v>
      </c>
      <c r="M85" s="10">
        <v>184.37441576474157</v>
      </c>
      <c r="N85" s="10">
        <v>299.67670907444358</v>
      </c>
      <c r="O85" s="14">
        <v>0.8</v>
      </c>
      <c r="P85" s="10">
        <v>132.574489</v>
      </c>
    </row>
    <row r="86" spans="1:16" ht="18">
      <c r="A86" s="2">
        <v>39051</v>
      </c>
      <c r="B86" s="3">
        <v>3463.4671156699997</v>
      </c>
      <c r="C86" s="3">
        <v>935.51842331000012</v>
      </c>
      <c r="D86" s="6">
        <v>0.84706483709227465</v>
      </c>
      <c r="E86" s="6">
        <v>0.81042238428844438</v>
      </c>
      <c r="F86" s="6">
        <f t="shared" si="1"/>
        <v>0.85769468863915532</v>
      </c>
      <c r="G86" s="3">
        <v>15131.191014999993</v>
      </c>
      <c r="H86" s="3">
        <v>12977.942166350003</v>
      </c>
      <c r="I86" s="3">
        <v>4169.0561034699995</v>
      </c>
      <c r="J86" s="10">
        <v>2290.46</v>
      </c>
      <c r="K86" s="11">
        <v>47.1</v>
      </c>
      <c r="L86" s="11">
        <v>7.4536363636400003</v>
      </c>
      <c r="M86" s="10">
        <v>250.9972421438035</v>
      </c>
      <c r="N86" s="10">
        <v>343.49587827228805</v>
      </c>
      <c r="O86" s="14">
        <v>0.9</v>
      </c>
      <c r="P86" s="10">
        <v>82.470119100000005</v>
      </c>
    </row>
    <row r="87" spans="1:16" ht="18">
      <c r="A87" s="2">
        <v>39082</v>
      </c>
      <c r="B87" s="3">
        <v>3685.3237094000006</v>
      </c>
      <c r="C87" s="3">
        <v>818.12611019000019</v>
      </c>
      <c r="D87" s="6">
        <v>0.88641721337202117</v>
      </c>
      <c r="E87" s="6">
        <v>0.86745688701447388</v>
      </c>
      <c r="F87" s="6">
        <f t="shared" si="1"/>
        <v>0.86270581169819915</v>
      </c>
      <c r="G87" s="3">
        <v>15032.022388999994</v>
      </c>
      <c r="H87" s="3">
        <v>12968.213076567743</v>
      </c>
      <c r="I87" s="3">
        <v>4303.9049264400001</v>
      </c>
      <c r="J87" s="10">
        <v>2261.33526315789</v>
      </c>
      <c r="K87" s="11">
        <v>50.21875</v>
      </c>
      <c r="L87" s="11">
        <v>6.5780952381000004</v>
      </c>
      <c r="M87" s="10">
        <v>167.59497154356251</v>
      </c>
      <c r="N87" s="10">
        <v>390.68967903405718</v>
      </c>
      <c r="O87" s="14">
        <v>0.9</v>
      </c>
      <c r="P87" s="10">
        <v>65.462546967741943</v>
      </c>
    </row>
    <row r="88" spans="1:16" ht="18">
      <c r="A88" s="2">
        <v>39113</v>
      </c>
      <c r="B88" s="3">
        <v>3537.0888669800001</v>
      </c>
      <c r="C88" s="3">
        <v>870.15298744999996</v>
      </c>
      <c r="D88" s="6">
        <v>0.87989542351913319</v>
      </c>
      <c r="E88" s="6">
        <v>0.88370090770975995</v>
      </c>
      <c r="F88" s="6">
        <f t="shared" si="1"/>
        <v>0.78951494040251802</v>
      </c>
      <c r="G88" s="3">
        <v>15032.022388999994</v>
      </c>
      <c r="H88" s="3">
        <v>11868.006260580647</v>
      </c>
      <c r="I88" s="3">
        <v>4207.8673272699998</v>
      </c>
      <c r="J88" s="10">
        <v>2237.06</v>
      </c>
      <c r="K88" s="11">
        <v>50.712500000000006</v>
      </c>
      <c r="L88" s="11">
        <v>6.5843478260900001</v>
      </c>
      <c r="M88" s="10">
        <v>132.56044614945853</v>
      </c>
      <c r="N88" s="10">
        <v>378.43881134206629</v>
      </c>
      <c r="O88" s="14">
        <v>0.7</v>
      </c>
      <c r="P88" s="10">
        <v>89.561345419354865</v>
      </c>
    </row>
    <row r="89" spans="1:16" ht="18">
      <c r="A89" s="2">
        <v>39141</v>
      </c>
      <c r="B89" s="3">
        <v>3067.9117800699996</v>
      </c>
      <c r="C89" s="3">
        <v>1088.4766407700001</v>
      </c>
      <c r="D89" s="6">
        <v>0.85202269116672469</v>
      </c>
      <c r="E89" s="6">
        <v>0.86657333129584002</v>
      </c>
      <c r="F89" s="6">
        <f t="shared" si="1"/>
        <v>0.66957346364910175</v>
      </c>
      <c r="G89" s="3">
        <v>15032.022388999994</v>
      </c>
      <c r="H89" s="3">
        <v>10065.043296653572</v>
      </c>
      <c r="I89" s="3">
        <v>3965.70536717</v>
      </c>
      <c r="J89" s="10">
        <v>2227.63</v>
      </c>
      <c r="K89" s="11">
        <v>52.268749999999997</v>
      </c>
      <c r="L89" s="11">
        <v>7.9725000000000001</v>
      </c>
      <c r="M89" s="10">
        <v>100.66194386478925</v>
      </c>
      <c r="N89" s="10">
        <v>309.25763926747862</v>
      </c>
      <c r="O89" s="14">
        <v>0.2</v>
      </c>
      <c r="P89" s="10">
        <v>107.75163064285714</v>
      </c>
    </row>
    <row r="90" spans="1:16" ht="18">
      <c r="A90" s="2">
        <v>39172</v>
      </c>
      <c r="B90" s="3">
        <v>3337.0093790899991</v>
      </c>
      <c r="C90" s="3">
        <v>1242.5651944799997</v>
      </c>
      <c r="D90" s="6">
        <v>0.82738528223363994</v>
      </c>
      <c r="E90" s="6">
        <v>0.8950120936871504</v>
      </c>
      <c r="F90" s="6">
        <f t="shared" si="1"/>
        <v>0.54614361583497673</v>
      </c>
      <c r="G90" s="3">
        <v>15035.336125870965</v>
      </c>
      <c r="H90" s="3">
        <v>8211.4528370774187</v>
      </c>
      <c r="I90" s="3">
        <v>4394.0304479999995</v>
      </c>
      <c r="J90" s="10">
        <v>2201.39</v>
      </c>
      <c r="K90" s="11">
        <v>54.427500000000002</v>
      </c>
      <c r="L90" s="11">
        <v>7.12318181818</v>
      </c>
      <c r="M90" s="10">
        <v>101.44557936976203</v>
      </c>
      <c r="N90" s="10">
        <v>377.37600250787324</v>
      </c>
      <c r="O90" s="14">
        <v>-0.1</v>
      </c>
      <c r="P90" s="10">
        <v>101.74543438709676</v>
      </c>
    </row>
    <row r="91" spans="1:16" ht="18">
      <c r="A91" s="2">
        <v>39202</v>
      </c>
      <c r="B91" s="3">
        <v>3527.3118285199998</v>
      </c>
      <c r="C91" s="3">
        <v>725.77009738999982</v>
      </c>
      <c r="D91" s="6">
        <v>0.84909496284786756</v>
      </c>
      <c r="E91" s="6">
        <v>0.91475470203870834</v>
      </c>
      <c r="F91" s="6">
        <f t="shared" si="1"/>
        <v>0.51739743760066903</v>
      </c>
      <c r="G91" s="3">
        <v>15036.488729999995</v>
      </c>
      <c r="H91" s="3">
        <v>7779.8407394133355</v>
      </c>
      <c r="I91" s="3">
        <v>4127.1865064599997</v>
      </c>
      <c r="J91" s="10">
        <v>2144.6</v>
      </c>
      <c r="K91" s="11">
        <v>53.739999999999995</v>
      </c>
      <c r="L91" s="11">
        <v>7.5873809523800002</v>
      </c>
      <c r="M91" s="10">
        <v>111.26492706565729</v>
      </c>
      <c r="N91" s="10">
        <v>321.91305330724714</v>
      </c>
      <c r="O91" s="14">
        <v>-0.3</v>
      </c>
      <c r="P91" s="10">
        <v>92.717653300000023</v>
      </c>
    </row>
    <row r="92" spans="1:16" ht="18">
      <c r="A92" s="2">
        <v>39233</v>
      </c>
      <c r="B92" s="3">
        <v>3841.1853013999994</v>
      </c>
      <c r="C92" s="3">
        <v>661.33628320000003</v>
      </c>
      <c r="D92" s="6">
        <v>0.81952917746560561</v>
      </c>
      <c r="E92" s="6">
        <v>0.85456663049664749</v>
      </c>
      <c r="F92" s="6">
        <f t="shared" si="1"/>
        <v>0.55381890669845635</v>
      </c>
      <c r="G92" s="3">
        <v>15036.488729999995</v>
      </c>
      <c r="H92" s="3">
        <v>8327.4917490322587</v>
      </c>
      <c r="I92" s="3">
        <v>4364.496091519999</v>
      </c>
      <c r="J92" s="10">
        <v>2007.91</v>
      </c>
      <c r="K92" s="11">
        <v>53.125</v>
      </c>
      <c r="L92" s="11">
        <v>7.61347826087</v>
      </c>
      <c r="M92" s="10">
        <v>106.12284839671347</v>
      </c>
      <c r="N92" s="10">
        <v>322.45771940074513</v>
      </c>
      <c r="O92" s="14">
        <v>-0.4</v>
      </c>
      <c r="P92" s="10">
        <v>76.213563225806482</v>
      </c>
    </row>
    <row r="93" spans="1:16" ht="18">
      <c r="A93" s="2">
        <v>39263</v>
      </c>
      <c r="B93" s="3">
        <v>3663.0509898099995</v>
      </c>
      <c r="C93" s="3">
        <v>670.56790765000005</v>
      </c>
      <c r="D93" s="6">
        <v>0.82558543857904565</v>
      </c>
      <c r="E93" s="6">
        <v>0.81586256922775802</v>
      </c>
      <c r="F93" s="6">
        <f t="shared" si="1"/>
        <v>0.64071309204001092</v>
      </c>
      <c r="G93" s="3">
        <v>15037.175190599997</v>
      </c>
      <c r="H93" s="3">
        <v>9634.5150119166647</v>
      </c>
      <c r="I93" s="3">
        <v>4216.88891212</v>
      </c>
      <c r="J93" s="10">
        <v>1923.76</v>
      </c>
      <c r="K93" s="11">
        <v>59.19</v>
      </c>
      <c r="L93" s="11">
        <v>7.3041428571400004</v>
      </c>
      <c r="M93" s="10">
        <v>145.72116290254755</v>
      </c>
      <c r="N93" s="10">
        <v>354.177627660366</v>
      </c>
      <c r="O93" s="14">
        <v>-0.5</v>
      </c>
      <c r="P93" s="10">
        <v>77.153722700000017</v>
      </c>
    </row>
    <row r="94" spans="1:16" ht="18">
      <c r="A94" s="2">
        <v>39294</v>
      </c>
      <c r="B94" s="3">
        <v>3798.99548048</v>
      </c>
      <c r="C94" s="3">
        <v>737.08207354000012</v>
      </c>
      <c r="D94" s="6">
        <v>0.87785853870556274</v>
      </c>
      <c r="E94" s="6">
        <v>0.85258470105085438</v>
      </c>
      <c r="F94" s="6">
        <f t="shared" si="1"/>
        <v>0.70154578602817252</v>
      </c>
      <c r="G94" s="3">
        <v>15046.785639000005</v>
      </c>
      <c r="H94" s="3">
        <v>10556.009058309677</v>
      </c>
      <c r="I94" s="3">
        <v>4359.8239322499994</v>
      </c>
      <c r="J94" s="10">
        <v>1950.87</v>
      </c>
      <c r="K94" s="11">
        <v>62.685000000000002</v>
      </c>
      <c r="L94" s="11">
        <v>6.2209090909100002</v>
      </c>
      <c r="M94" s="10">
        <v>195.4590171015947</v>
      </c>
      <c r="N94" s="10">
        <v>377.91526821147255</v>
      </c>
      <c r="O94" s="14">
        <v>-0.6</v>
      </c>
      <c r="P94" s="10">
        <v>80.844036903225827</v>
      </c>
    </row>
    <row r="95" spans="1:16" ht="18">
      <c r="A95" s="2">
        <v>39325</v>
      </c>
      <c r="B95" s="3">
        <v>3763.6881772999996</v>
      </c>
      <c r="C95" s="3">
        <v>796.08115706000001</v>
      </c>
      <c r="D95" s="6">
        <v>0.86592417178583769</v>
      </c>
      <c r="E95" s="6">
        <v>0.83571073336203172</v>
      </c>
      <c r="F95" s="6">
        <f t="shared" si="1"/>
        <v>0.70220040112826188</v>
      </c>
      <c r="G95" s="3">
        <v>15046.785639000005</v>
      </c>
      <c r="H95" s="3">
        <v>10565.858911396774</v>
      </c>
      <c r="I95" s="3">
        <v>4400.3327072099983</v>
      </c>
      <c r="J95" s="10">
        <v>2058.2800000000002</v>
      </c>
      <c r="K95" s="11">
        <v>64.765000000000001</v>
      </c>
      <c r="L95" s="11">
        <v>6.1954347826099996</v>
      </c>
      <c r="M95" s="10">
        <v>126.4532685702533</v>
      </c>
      <c r="N95" s="10">
        <v>374.59938487852332</v>
      </c>
      <c r="O95" s="14">
        <v>-0.8</v>
      </c>
      <c r="P95" s="10">
        <v>86.731940580645173</v>
      </c>
    </row>
    <row r="96" spans="1:16" ht="18">
      <c r="A96" s="2">
        <v>39355</v>
      </c>
      <c r="B96" s="3">
        <v>3846.09083633</v>
      </c>
      <c r="C96" s="3">
        <v>624.40283628999987</v>
      </c>
      <c r="D96" s="6">
        <v>0.86113215449775893</v>
      </c>
      <c r="E96" s="6">
        <v>0.7511794881143824</v>
      </c>
      <c r="F96" s="6">
        <f t="shared" si="1"/>
        <v>0.7367432614562196</v>
      </c>
      <c r="G96" s="3">
        <v>15077.028833166658</v>
      </c>
      <c r="H96" s="3">
        <v>11107.899395616665</v>
      </c>
      <c r="I96" s="3">
        <v>4304.3397881800001</v>
      </c>
      <c r="J96" s="10">
        <v>2117.0500000000002</v>
      </c>
      <c r="K96" s="11">
        <v>65.625</v>
      </c>
      <c r="L96" s="11">
        <v>6.0964999999999998</v>
      </c>
      <c r="M96" s="10">
        <v>143.22683374779945</v>
      </c>
      <c r="N96" s="10">
        <v>441.88037852308747</v>
      </c>
      <c r="O96" s="14">
        <v>-1.1000000000000001</v>
      </c>
      <c r="P96" s="10">
        <v>75.629366733333342</v>
      </c>
    </row>
    <row r="97" spans="1:16" ht="18">
      <c r="A97" s="2">
        <v>39386</v>
      </c>
      <c r="B97" s="3">
        <v>3850.2368113400007</v>
      </c>
      <c r="C97" s="3">
        <v>726.46866972000009</v>
      </c>
      <c r="D97" s="6">
        <v>0.850665490377156</v>
      </c>
      <c r="E97" s="6">
        <v>0.70566981728564171</v>
      </c>
      <c r="F97" s="6">
        <f t="shared" si="1"/>
        <v>0.76758077874904473</v>
      </c>
      <c r="G97" s="3">
        <v>15070.593755870977</v>
      </c>
      <c r="H97" s="3">
        <v>11567.898091341936</v>
      </c>
      <c r="I97" s="3">
        <v>4428.0771783300006</v>
      </c>
      <c r="J97" s="10">
        <v>2003.26</v>
      </c>
      <c r="K97" s="11">
        <v>73.965000000000003</v>
      </c>
      <c r="L97" s="11">
        <v>6.7980434782600003</v>
      </c>
      <c r="M97" s="10">
        <v>145.95875967344489</v>
      </c>
      <c r="N97" s="10">
        <v>482.61949762829261</v>
      </c>
      <c r="O97" s="14">
        <v>-1.3</v>
      </c>
      <c r="P97" s="10">
        <v>81.848689032258065</v>
      </c>
    </row>
    <row r="98" spans="1:16" ht="18">
      <c r="A98" s="2">
        <v>39416</v>
      </c>
      <c r="B98" s="3">
        <v>4149.3186221100013</v>
      </c>
      <c r="C98" s="3">
        <v>355.64246301999998</v>
      </c>
      <c r="D98" s="6">
        <v>0.88616681704646616</v>
      </c>
      <c r="E98" s="6">
        <v>0.78156179356983024</v>
      </c>
      <c r="F98" s="6">
        <f t="shared" si="1"/>
        <v>0.82411973646051473</v>
      </c>
      <c r="G98" s="3">
        <v>15074.846891715673</v>
      </c>
      <c r="H98" s="3">
        <v>12423.47884758333</v>
      </c>
      <c r="I98" s="3">
        <v>4342.8201255799995</v>
      </c>
      <c r="J98" s="10">
        <v>2047.72</v>
      </c>
      <c r="K98" s="11">
        <v>87.174999999999997</v>
      </c>
      <c r="L98" s="11">
        <v>7.1377272727300003</v>
      </c>
      <c r="M98" s="10">
        <v>172.4113072684539</v>
      </c>
      <c r="N98" s="10">
        <v>600.36103558259811</v>
      </c>
      <c r="O98" s="14">
        <v>-1.5</v>
      </c>
      <c r="P98" s="10">
        <v>64.60349246666668</v>
      </c>
    </row>
    <row r="99" spans="1:16" ht="18">
      <c r="A99" s="2">
        <v>39447</v>
      </c>
      <c r="B99" s="3">
        <v>3860.2095210999996</v>
      </c>
      <c r="C99" s="3">
        <v>766.2499353799999</v>
      </c>
      <c r="D99" s="6">
        <v>0.9030370152499998</v>
      </c>
      <c r="E99" s="6">
        <v>0.85156447464187268</v>
      </c>
      <c r="F99" s="6">
        <f t="shared" si="1"/>
        <v>0.787194968186263</v>
      </c>
      <c r="G99" s="3">
        <v>15397.303103470007</v>
      </c>
      <c r="H99" s="3">
        <v>12120.679526690321</v>
      </c>
      <c r="I99" s="3">
        <v>4437.3997618099993</v>
      </c>
      <c r="J99" s="10">
        <v>2014.2014999999999</v>
      </c>
      <c r="K99" s="11">
        <v>92.625</v>
      </c>
      <c r="L99" s="11">
        <v>7.1497619047600001</v>
      </c>
      <c r="M99" s="10">
        <v>96.333490004592022</v>
      </c>
      <c r="N99" s="10">
        <v>622.93523753020816</v>
      </c>
      <c r="O99" s="14">
        <v>-1.6</v>
      </c>
      <c r="P99" s="10">
        <v>85.944365451612924</v>
      </c>
    </row>
    <row r="100" spans="1:16" ht="18">
      <c r="A100" s="2">
        <v>39478</v>
      </c>
      <c r="B100" s="3">
        <v>3624.3636624199999</v>
      </c>
      <c r="C100" s="3">
        <v>851.92633852999995</v>
      </c>
      <c r="D100" s="6">
        <v>0.89240954158297126</v>
      </c>
      <c r="E100" s="6">
        <v>0.88266974889684013</v>
      </c>
      <c r="F100" s="6">
        <f t="shared" si="1"/>
        <v>0.74845800707240417</v>
      </c>
      <c r="G100" s="3">
        <v>15397.303103470007</v>
      </c>
      <c r="H100" s="3">
        <v>11524.234795112905</v>
      </c>
      <c r="I100" s="3">
        <v>4314.6424220400004</v>
      </c>
      <c r="J100" s="10">
        <v>1980.59</v>
      </c>
      <c r="K100" s="11">
        <v>96.185000000000002</v>
      </c>
      <c r="L100" s="11">
        <v>8</v>
      </c>
      <c r="M100" s="10">
        <v>108.97765872083035</v>
      </c>
      <c r="N100" s="10">
        <v>651.96704559018974</v>
      </c>
      <c r="O100" s="14">
        <v>-1.6</v>
      </c>
      <c r="P100" s="10">
        <v>95.98807622580641</v>
      </c>
    </row>
    <row r="101" spans="1:16" ht="18">
      <c r="A101" s="2">
        <v>39507</v>
      </c>
      <c r="B101" s="3">
        <v>3558.0906688100004</v>
      </c>
      <c r="C101" s="3">
        <v>756.76185081000006</v>
      </c>
      <c r="D101" s="6">
        <v>0.86596438193345338</v>
      </c>
      <c r="E101" s="6">
        <v>0.85165205192450077</v>
      </c>
      <c r="F101" s="6">
        <f t="shared" si="1"/>
        <v>0.6590948422765317</v>
      </c>
      <c r="G101" s="3">
        <v>15397.303103470007</v>
      </c>
      <c r="H101" s="3">
        <v>10148.283060465516</v>
      </c>
      <c r="I101" s="3">
        <v>4209.6326832300001</v>
      </c>
      <c r="J101" s="10">
        <v>1903.27</v>
      </c>
      <c r="K101" s="11">
        <v>123.5</v>
      </c>
      <c r="L101" s="11">
        <v>8.5500000000000007</v>
      </c>
      <c r="M101" s="10">
        <v>95.15921855200088</v>
      </c>
      <c r="N101" s="10">
        <v>585.80085784275309</v>
      </c>
      <c r="O101" s="14">
        <v>-1.5</v>
      </c>
      <c r="P101" s="10">
        <v>101.50241496551725</v>
      </c>
    </row>
    <row r="102" spans="1:16" ht="18">
      <c r="A102" s="2">
        <v>39538</v>
      </c>
      <c r="B102" s="3">
        <v>3554.9091917700007</v>
      </c>
      <c r="C102" s="3">
        <v>798.24611628999969</v>
      </c>
      <c r="D102" s="6">
        <v>0.84521996484592377</v>
      </c>
      <c r="E102" s="6">
        <v>0.90848010517548705</v>
      </c>
      <c r="F102" s="6">
        <f t="shared" si="1"/>
        <v>0.59575812415364504</v>
      </c>
      <c r="G102" s="3">
        <v>15397.303103470007</v>
      </c>
      <c r="H102" s="3">
        <v>9173.0684139483892</v>
      </c>
      <c r="I102" s="3">
        <v>4263.8738364400006</v>
      </c>
      <c r="J102" s="10">
        <v>1846.9</v>
      </c>
      <c r="K102" s="11">
        <v>114.625</v>
      </c>
      <c r="L102" s="11">
        <v>9.4014285714299994</v>
      </c>
      <c r="M102" s="10">
        <v>106.2551152656155</v>
      </c>
      <c r="N102" s="10">
        <v>624.86257570293242</v>
      </c>
      <c r="O102" s="14">
        <v>-1.3</v>
      </c>
      <c r="P102" s="10">
        <v>90.969267032258074</v>
      </c>
    </row>
    <row r="103" spans="1:16" ht="18">
      <c r="A103" s="2">
        <v>39568</v>
      </c>
      <c r="B103" s="3">
        <v>3523.4293563399997</v>
      </c>
      <c r="C103" s="3">
        <v>935.05161667999982</v>
      </c>
      <c r="D103" s="6">
        <v>0.85086199460620682</v>
      </c>
      <c r="E103" s="6">
        <v>0.8884586233187417</v>
      </c>
      <c r="F103" s="6">
        <f t="shared" si="1"/>
        <v>0.53831554321084596</v>
      </c>
      <c r="G103" s="3">
        <v>15377.454261235012</v>
      </c>
      <c r="H103" s="3">
        <v>8277.9226438366641</v>
      </c>
      <c r="I103" s="3">
        <v>4374.1939763000009</v>
      </c>
      <c r="J103" s="10">
        <v>1796.13</v>
      </c>
      <c r="K103" s="11">
        <v>115.875</v>
      </c>
      <c r="L103" s="11">
        <v>10.132272727269999</v>
      </c>
      <c r="M103" s="10">
        <v>94.160279860270919</v>
      </c>
      <c r="N103" s="10">
        <v>698.12540888460717</v>
      </c>
      <c r="O103" s="14">
        <v>-1</v>
      </c>
      <c r="P103" s="10">
        <v>105.33429756666668</v>
      </c>
    </row>
    <row r="104" spans="1:16" ht="18">
      <c r="A104" s="2">
        <v>39599</v>
      </c>
      <c r="B104" s="3">
        <v>3534.08328678</v>
      </c>
      <c r="C104" s="3">
        <v>965.35208828999998</v>
      </c>
      <c r="D104" s="6">
        <v>0.8535377315305509</v>
      </c>
      <c r="E104" s="6">
        <v>0.83798784307042029</v>
      </c>
      <c r="F104" s="6">
        <f t="shared" si="1"/>
        <v>0.54958530561901864</v>
      </c>
      <c r="G104" s="3">
        <v>15357.60541900001</v>
      </c>
      <c r="H104" s="3">
        <v>8440.3142677774176</v>
      </c>
      <c r="I104" s="3">
        <v>4414.0794049099986</v>
      </c>
      <c r="J104" s="10">
        <v>1778.01</v>
      </c>
      <c r="K104" s="11">
        <v>126.94999999999999</v>
      </c>
      <c r="L104" s="11">
        <v>11.23045454545</v>
      </c>
      <c r="M104" s="10">
        <v>120.52177892570009</v>
      </c>
      <c r="N104" s="10">
        <v>733.84881704204906</v>
      </c>
      <c r="O104" s="14">
        <v>-0.8</v>
      </c>
      <c r="P104" s="10">
        <v>99.144852677419365</v>
      </c>
    </row>
    <row r="105" spans="1:16" ht="18">
      <c r="A105" s="2">
        <v>39629</v>
      </c>
      <c r="B105" s="3">
        <v>3758.6870832299996</v>
      </c>
      <c r="C105" s="3">
        <v>624.40049741000007</v>
      </c>
      <c r="D105" s="6">
        <v>0.85534219159570102</v>
      </c>
      <c r="E105" s="6">
        <v>0.86435599901869831</v>
      </c>
      <c r="F105" s="6">
        <f t="shared" si="1"/>
        <v>0.66792567920165924</v>
      </c>
      <c r="G105" s="3">
        <v>15357.605419000009</v>
      </c>
      <c r="H105" s="3">
        <v>10257.739030396664</v>
      </c>
      <c r="I105" s="3">
        <v>4276.8357664499999</v>
      </c>
      <c r="J105" s="10">
        <v>1712.28</v>
      </c>
      <c r="K105" s="11">
        <v>151.065</v>
      </c>
      <c r="L105" s="11">
        <v>12.67619047619</v>
      </c>
      <c r="M105" s="10">
        <v>161.56655431824956</v>
      </c>
      <c r="N105" s="10">
        <v>741.69532353874922</v>
      </c>
      <c r="O105" s="14">
        <v>-0.6</v>
      </c>
      <c r="P105" s="10">
        <v>78.398600633333345</v>
      </c>
    </row>
    <row r="106" spans="1:16" ht="18">
      <c r="A106" s="2">
        <v>39660</v>
      </c>
      <c r="B106" s="3">
        <v>4034.5492041499997</v>
      </c>
      <c r="C106" s="3">
        <v>547.89655356000003</v>
      </c>
      <c r="D106" s="6">
        <v>0.85790610671644063</v>
      </c>
      <c r="E106" s="6">
        <v>0.90446160369383466</v>
      </c>
      <c r="F106" s="6">
        <f t="shared" si="1"/>
        <v>0.79801162508722145</v>
      </c>
      <c r="G106" s="3">
        <v>15357.60541900001</v>
      </c>
      <c r="H106" s="3">
        <v>12255.547657864518</v>
      </c>
      <c r="I106" s="3">
        <v>4482.5012880700006</v>
      </c>
      <c r="J106" s="10">
        <v>1783.09</v>
      </c>
      <c r="K106" s="11">
        <v>173.875</v>
      </c>
      <c r="L106" s="11">
        <v>11.148782608699999</v>
      </c>
      <c r="M106" s="10">
        <v>224.84238547629445</v>
      </c>
      <c r="N106" s="10">
        <v>806.38157670464216</v>
      </c>
      <c r="O106" s="14">
        <v>-0.4</v>
      </c>
      <c r="P106" s="10">
        <v>66.171861741935501</v>
      </c>
    </row>
    <row r="107" spans="1:16" ht="18">
      <c r="A107" s="2">
        <v>39691</v>
      </c>
      <c r="B107" s="3">
        <v>4128.2232808899989</v>
      </c>
      <c r="C107" s="3">
        <v>473.0525724100001</v>
      </c>
      <c r="D107" s="6">
        <v>0.88980055988066553</v>
      </c>
      <c r="E107" s="6">
        <v>0.86438515732275234</v>
      </c>
      <c r="F107" s="6">
        <f t="shared" si="1"/>
        <v>0.83286414377789453</v>
      </c>
      <c r="G107" s="3">
        <v>15357.60541900001</v>
      </c>
      <c r="H107" s="3">
        <v>12790.798887774197</v>
      </c>
      <c r="I107" s="3">
        <v>4426.5771072799998</v>
      </c>
      <c r="J107" s="10">
        <v>1844.29</v>
      </c>
      <c r="K107" s="11">
        <v>157.65</v>
      </c>
      <c r="L107" s="11">
        <v>8.25</v>
      </c>
      <c r="M107" s="10">
        <v>500.831585124485</v>
      </c>
      <c r="N107" s="10">
        <v>866.76397212513677</v>
      </c>
      <c r="O107" s="14">
        <v>-0.2</v>
      </c>
      <c r="P107" s="10">
        <v>75.927108322580665</v>
      </c>
    </row>
    <row r="108" spans="1:16" ht="18">
      <c r="A108" s="2">
        <v>39721</v>
      </c>
      <c r="B108" s="3">
        <v>4067.8811118100002</v>
      </c>
      <c r="C108" s="3">
        <v>559.43015390999994</v>
      </c>
      <c r="D108" s="6">
        <v>0.86822543993358425</v>
      </c>
      <c r="E108" s="6">
        <v>0.85477209077165661</v>
      </c>
      <c r="F108" s="6">
        <f t="shared" si="1"/>
        <v>0.83201722902549624</v>
      </c>
      <c r="G108" s="3">
        <v>15357.605419000009</v>
      </c>
      <c r="H108" s="3">
        <v>12777.792305183333</v>
      </c>
      <c r="I108" s="3">
        <v>4425.3595198599996</v>
      </c>
      <c r="J108" s="10">
        <v>2066.04</v>
      </c>
      <c r="K108" s="11">
        <v>148.875</v>
      </c>
      <c r="L108" s="11">
        <v>7.6944999999999997</v>
      </c>
      <c r="M108" s="10">
        <v>615.78153271431859</v>
      </c>
      <c r="N108" s="10">
        <v>1022.9355440522597</v>
      </c>
      <c r="O108" s="14">
        <v>-0.2</v>
      </c>
      <c r="P108" s="10">
        <v>83.773206333333334</v>
      </c>
    </row>
    <row r="109" spans="1:16" ht="18">
      <c r="A109" s="2">
        <v>39752</v>
      </c>
      <c r="B109" s="3">
        <v>4219.8285606500003</v>
      </c>
      <c r="C109" s="3">
        <v>551.20212633999995</v>
      </c>
      <c r="D109" s="6">
        <v>0.86681478660278344</v>
      </c>
      <c r="E109" s="6">
        <v>0.80509289073629586</v>
      </c>
      <c r="F109" s="6">
        <f t="shared" si="1"/>
        <v>0.81895624066209893</v>
      </c>
      <c r="G109" s="3">
        <v>15357.60541900001</v>
      </c>
      <c r="H109" s="3">
        <v>12577.206799516127</v>
      </c>
      <c r="I109" s="3">
        <v>4555.2868245099999</v>
      </c>
      <c r="J109" s="10">
        <v>2289.17</v>
      </c>
      <c r="K109" s="11">
        <v>108.85</v>
      </c>
      <c r="L109" s="11">
        <v>6.7335000000000003</v>
      </c>
      <c r="M109" s="10">
        <v>372.04489724326368</v>
      </c>
      <c r="N109" s="10">
        <v>999.11030362521853</v>
      </c>
      <c r="O109" s="14">
        <v>-0.4</v>
      </c>
      <c r="P109" s="10">
        <v>86.900128806451605</v>
      </c>
    </row>
    <row r="110" spans="1:16" ht="18">
      <c r="A110" s="2">
        <v>39782</v>
      </c>
      <c r="B110" s="3">
        <v>3993.4409084099993</v>
      </c>
      <c r="C110" s="3">
        <v>514.25140622000004</v>
      </c>
      <c r="D110" s="6">
        <v>0.83051687719157841</v>
      </c>
      <c r="E110" s="6">
        <v>0.73177948932801762</v>
      </c>
      <c r="F110" s="6">
        <f t="shared" si="1"/>
        <v>0.8365481042757863</v>
      </c>
      <c r="G110" s="3">
        <v>15357.605419000009</v>
      </c>
      <c r="H110" s="3">
        <v>12847.375699480001</v>
      </c>
      <c r="I110" s="3">
        <v>4349.3636980799993</v>
      </c>
      <c r="J110" s="10">
        <v>2329.16</v>
      </c>
      <c r="K110" s="11">
        <v>90.814999999999998</v>
      </c>
      <c r="L110" s="11">
        <v>6.6745000000000001</v>
      </c>
      <c r="M110" s="10">
        <v>256.09513499717929</v>
      </c>
      <c r="N110" s="10">
        <v>786.78937798575237</v>
      </c>
      <c r="O110" s="14">
        <v>-0.6</v>
      </c>
      <c r="P110" s="10">
        <v>91.456761599999979</v>
      </c>
    </row>
    <row r="111" spans="1:16" ht="18">
      <c r="A111" s="2">
        <v>39813</v>
      </c>
      <c r="B111" s="3">
        <v>4163.3964940099995</v>
      </c>
      <c r="C111" s="3">
        <v>554.27058509999995</v>
      </c>
      <c r="D111" s="6">
        <v>0.86090898088550183</v>
      </c>
      <c r="E111" s="6">
        <v>0.84312387751836504</v>
      </c>
      <c r="F111" s="6">
        <f t="shared" si="1"/>
        <v>0.84461881105966852</v>
      </c>
      <c r="G111" s="3">
        <v>15334.697719999998</v>
      </c>
      <c r="H111" s="3">
        <v>12951.974156225808</v>
      </c>
      <c r="I111" s="3">
        <v>4468.6628520000004</v>
      </c>
      <c r="J111" s="10">
        <v>2252.7199999999998</v>
      </c>
      <c r="K111" s="11">
        <v>77.95</v>
      </c>
      <c r="L111" s="11">
        <v>5.7948000000000004</v>
      </c>
      <c r="M111" s="10">
        <v>311.31529585985629</v>
      </c>
      <c r="N111" s="10">
        <v>759.43022698565017</v>
      </c>
      <c r="O111" s="14">
        <v>-0.7</v>
      </c>
      <c r="P111" s="10">
        <v>111.39455967741937</v>
      </c>
    </row>
    <row r="112" spans="1:16" ht="18">
      <c r="A112" s="2">
        <v>39844</v>
      </c>
      <c r="B112" s="3">
        <v>3944.3163140100005</v>
      </c>
      <c r="C112" s="3">
        <v>635.70397847999982</v>
      </c>
      <c r="D112" s="6">
        <v>0.88609414335524761</v>
      </c>
      <c r="E112" s="6">
        <v>0.84662606867034806</v>
      </c>
      <c r="F112" s="6">
        <f t="shared" si="1"/>
        <v>0.79128955844997129</v>
      </c>
      <c r="G112" s="3">
        <v>15334.697719999998</v>
      </c>
      <c r="H112" s="3">
        <v>12134.186187822581</v>
      </c>
      <c r="I112" s="3">
        <v>4351.1874566899996</v>
      </c>
      <c r="J112" s="10">
        <v>2252.98</v>
      </c>
      <c r="K112" s="11">
        <v>77.900000000000006</v>
      </c>
      <c r="L112" s="11">
        <v>5.2413999999999996</v>
      </c>
      <c r="M112" s="10">
        <v>287.35771654119685</v>
      </c>
      <c r="N112" s="10">
        <v>609.14626370913186</v>
      </c>
      <c r="O112" s="14">
        <v>-0.8</v>
      </c>
      <c r="P112" s="10">
        <v>134.69951061290325</v>
      </c>
    </row>
    <row r="113" spans="1:16" ht="18">
      <c r="A113" s="2">
        <v>39872</v>
      </c>
      <c r="B113" s="3">
        <v>3603.1779525900006</v>
      </c>
      <c r="C113" s="3">
        <v>658.23791296000002</v>
      </c>
      <c r="D113" s="6">
        <v>0.85370636694611868</v>
      </c>
      <c r="E113" s="6">
        <v>0.87242341315884475</v>
      </c>
      <c r="F113" s="6">
        <f t="shared" si="1"/>
        <v>0.71403226267671105</v>
      </c>
      <c r="G113" s="3">
        <v>15334.697719999998</v>
      </c>
      <c r="H113" s="3">
        <v>10949.468910475001</v>
      </c>
      <c r="I113" s="3">
        <v>4077.9851476100011</v>
      </c>
      <c r="J113" s="10">
        <v>2513.7399999999998</v>
      </c>
      <c r="K113" s="11">
        <v>72.22</v>
      </c>
      <c r="L113" s="11">
        <v>4.5190000000000001</v>
      </c>
      <c r="M113" s="10">
        <v>195.47400350068145</v>
      </c>
      <c r="N113" s="10">
        <v>537.54004499960217</v>
      </c>
      <c r="O113" s="14">
        <v>-0.8</v>
      </c>
      <c r="P113" s="10">
        <v>123.42731817857141</v>
      </c>
    </row>
    <row r="114" spans="1:16" ht="18">
      <c r="A114" s="2">
        <v>39903</v>
      </c>
      <c r="B114" s="3">
        <v>3963.5901550299996</v>
      </c>
      <c r="C114" s="3">
        <v>760.25545081000007</v>
      </c>
      <c r="D114" s="6">
        <v>0.82890713285236051</v>
      </c>
      <c r="E114" s="6">
        <v>0.90737787866157527</v>
      </c>
      <c r="F114" s="6">
        <f t="shared" si="1"/>
        <v>0.62816759079562823</v>
      </c>
      <c r="G114" s="3">
        <v>15334.697719999998</v>
      </c>
      <c r="H114" s="3">
        <v>9632.7601223516122</v>
      </c>
      <c r="I114" s="3">
        <v>4442.5477890200009</v>
      </c>
      <c r="J114" s="10">
        <v>2477.21</v>
      </c>
      <c r="K114" s="11">
        <v>59.78</v>
      </c>
      <c r="L114" s="11">
        <v>3.9502000000000002</v>
      </c>
      <c r="M114" s="10">
        <v>116.30159514531357</v>
      </c>
      <c r="N114" s="10">
        <v>538.43140907584575</v>
      </c>
      <c r="O114" s="14">
        <v>-0.6</v>
      </c>
      <c r="P114" s="10">
        <v>109.80758087096773</v>
      </c>
    </row>
    <row r="115" spans="1:16" ht="18">
      <c r="A115" s="2">
        <v>39933</v>
      </c>
      <c r="B115" s="3">
        <v>3817.0953064600003</v>
      </c>
      <c r="C115" s="3">
        <v>691.52063220999992</v>
      </c>
      <c r="D115" s="6">
        <v>0.84242924181412715</v>
      </c>
      <c r="E115" s="6">
        <v>0.91089312826135693</v>
      </c>
      <c r="F115" s="6">
        <f t="shared" si="1"/>
        <v>0.60050000169832729</v>
      </c>
      <c r="G115" s="3">
        <v>15334.697719999998</v>
      </c>
      <c r="H115" s="3">
        <v>9208.4860069033348</v>
      </c>
      <c r="I115" s="3">
        <v>4296.0221227499987</v>
      </c>
      <c r="J115" s="10">
        <v>2379.36</v>
      </c>
      <c r="K115" s="11">
        <v>63.22</v>
      </c>
      <c r="L115" s="11">
        <v>3.4998</v>
      </c>
      <c r="M115" s="10">
        <v>126.35224548603873</v>
      </c>
      <c r="N115" s="10">
        <v>530.39580378282301</v>
      </c>
      <c r="O115" s="14">
        <v>-0.3</v>
      </c>
      <c r="P115" s="10">
        <v>90.451197133333338</v>
      </c>
    </row>
    <row r="116" spans="1:16" ht="18">
      <c r="A116" s="2">
        <v>39964</v>
      </c>
      <c r="B116" s="3">
        <v>3779.87477429</v>
      </c>
      <c r="C116" s="3">
        <v>936.8065524299999</v>
      </c>
      <c r="D116" s="6">
        <v>0.85414098321358489</v>
      </c>
      <c r="E116" s="6">
        <v>0.88321653528476018</v>
      </c>
      <c r="F116" s="6">
        <f t="shared" si="1"/>
        <v>0.58937000419704222</v>
      </c>
      <c r="G116" s="3">
        <v>15334.697719999998</v>
      </c>
      <c r="H116" s="3">
        <v>9037.8108595967733</v>
      </c>
      <c r="I116" s="3">
        <v>4467.381869679999</v>
      </c>
      <c r="J116" s="10">
        <v>2229.9499999999998</v>
      </c>
      <c r="K116" s="11">
        <v>61.265000000000001</v>
      </c>
      <c r="L116" s="11">
        <v>3.81</v>
      </c>
      <c r="M116" s="10">
        <v>127.89098298198329</v>
      </c>
      <c r="N116" s="10">
        <v>474.58495008811036</v>
      </c>
      <c r="O116" s="14">
        <v>0</v>
      </c>
      <c r="P116" s="10">
        <v>119.66540987096774</v>
      </c>
    </row>
    <row r="117" spans="1:16" ht="18">
      <c r="A117" s="2">
        <v>39994</v>
      </c>
      <c r="B117" s="3">
        <v>3493.2883949000002</v>
      </c>
      <c r="C117" s="3">
        <v>1005.21992949</v>
      </c>
      <c r="D117" s="6">
        <v>0.85102195205505227</v>
      </c>
      <c r="E117" s="6">
        <v>0.84251342092450088</v>
      </c>
      <c r="F117" s="6">
        <f t="shared" si="1"/>
        <v>0.5975146252179705</v>
      </c>
      <c r="G117" s="3">
        <v>15334.697719999998</v>
      </c>
      <c r="H117" s="3">
        <v>9162.7061609966659</v>
      </c>
      <c r="I117" s="3">
        <v>4312.7085676099987</v>
      </c>
      <c r="J117" s="10">
        <v>2090.04</v>
      </c>
      <c r="K117" s="11">
        <v>65.789999999999992</v>
      </c>
      <c r="L117" s="11">
        <v>3.8043</v>
      </c>
      <c r="M117" s="10">
        <v>130.83827180770945</v>
      </c>
      <c r="N117" s="10">
        <v>491.74219193834455</v>
      </c>
      <c r="O117" s="14">
        <v>0.3</v>
      </c>
      <c r="P117" s="10">
        <v>127.16183599999999</v>
      </c>
    </row>
    <row r="118" spans="1:16" ht="18">
      <c r="A118" s="2">
        <v>40025</v>
      </c>
      <c r="B118" s="3">
        <v>3558.8680300700012</v>
      </c>
      <c r="C118" s="3">
        <v>1138.0499880399998</v>
      </c>
      <c r="D118" s="6">
        <v>0.86306377707898685</v>
      </c>
      <c r="E118" s="6">
        <v>0.78909047479057848</v>
      </c>
      <c r="F118" s="6">
        <f t="shared" si="1"/>
        <v>0.67158337669345114</v>
      </c>
      <c r="G118" s="3">
        <v>15334.697719999998</v>
      </c>
      <c r="H118" s="3">
        <v>10298.528075370965</v>
      </c>
      <c r="I118" s="3">
        <v>4550.0092590000004</v>
      </c>
      <c r="J118" s="10">
        <v>2052.6799999999998</v>
      </c>
      <c r="K118" s="11">
        <v>67.45</v>
      </c>
      <c r="L118" s="11">
        <v>3.3902000000000001</v>
      </c>
      <c r="M118" s="10">
        <v>116.7496133730028</v>
      </c>
      <c r="N118" s="10">
        <v>491.16801860859459</v>
      </c>
      <c r="O118" s="14">
        <v>0.5</v>
      </c>
      <c r="P118" s="10">
        <v>127.01444338709679</v>
      </c>
    </row>
    <row r="119" spans="1:16" ht="18">
      <c r="A119" s="2">
        <v>40056</v>
      </c>
      <c r="B119" s="3">
        <v>3503.8077086299991</v>
      </c>
      <c r="C119" s="3">
        <v>1257.81638094</v>
      </c>
      <c r="D119" s="6">
        <v>0.85022668603350682</v>
      </c>
      <c r="E119" s="6">
        <v>0.80196618325538116</v>
      </c>
      <c r="F119" s="6">
        <f t="shared" si="1"/>
        <v>0.71479828972471904</v>
      </c>
      <c r="G119" s="3">
        <v>15337.879919580646</v>
      </c>
      <c r="H119" s="3">
        <v>10963.490334519356</v>
      </c>
      <c r="I119" s="3">
        <v>4540.0349634499999</v>
      </c>
      <c r="J119" s="10">
        <v>2018.97</v>
      </c>
      <c r="K119" s="11">
        <v>68.375</v>
      </c>
      <c r="L119" s="11">
        <v>3.1478999999999999</v>
      </c>
      <c r="M119" s="10">
        <v>104.99683483934265</v>
      </c>
      <c r="N119" s="10">
        <v>173.4696058265753</v>
      </c>
      <c r="O119" s="14">
        <v>0.6</v>
      </c>
      <c r="P119" s="10">
        <v>129.41443400000003</v>
      </c>
    </row>
    <row r="120" spans="1:16" ht="18">
      <c r="A120" s="2">
        <v>40086</v>
      </c>
      <c r="B120" s="3">
        <v>3393.2595516599999</v>
      </c>
      <c r="C120" s="3">
        <v>1470.4636841399999</v>
      </c>
      <c r="D120" s="6">
        <v>0.80178796341474401</v>
      </c>
      <c r="E120" s="6">
        <v>0.78459625515840392</v>
      </c>
      <c r="F120" s="6">
        <f t="shared" si="1"/>
        <v>0.70288407274540377</v>
      </c>
      <c r="G120" s="3">
        <v>15343.665737000001</v>
      </c>
      <c r="H120" s="3">
        <v>10784.818264066667</v>
      </c>
      <c r="I120" s="3">
        <v>4558.2910512300004</v>
      </c>
      <c r="J120" s="10">
        <v>1980.77</v>
      </c>
      <c r="K120" s="11">
        <v>64.385000000000005</v>
      </c>
      <c r="L120" s="11">
        <v>2.9615999999999998</v>
      </c>
      <c r="M120" s="10">
        <v>113.63003261060784</v>
      </c>
      <c r="N120" s="10">
        <v>176.47819847544628</v>
      </c>
      <c r="O120" s="14">
        <v>0.7</v>
      </c>
      <c r="P120" s="10">
        <v>185.79121649999996</v>
      </c>
    </row>
    <row r="121" spans="1:16" ht="18">
      <c r="A121" s="2">
        <v>40117</v>
      </c>
      <c r="B121" s="3">
        <v>2652.7006735399996</v>
      </c>
      <c r="C121" s="3">
        <v>2144.3154565300001</v>
      </c>
      <c r="D121" s="6">
        <v>0.80338933710927662</v>
      </c>
      <c r="E121" s="6">
        <v>0.76457419817565264</v>
      </c>
      <c r="F121" s="6">
        <f t="shared" si="1"/>
        <v>0.66248592019673425</v>
      </c>
      <c r="G121" s="3">
        <v>15338.984343451608</v>
      </c>
      <c r="H121" s="3">
        <v>10161.861157654837</v>
      </c>
      <c r="I121" s="3">
        <v>4638.8874497999986</v>
      </c>
      <c r="J121" s="10">
        <v>1904.86</v>
      </c>
      <c r="K121" s="11">
        <v>67.709999999999994</v>
      </c>
      <c r="L121" s="11">
        <v>4.0232000000000001</v>
      </c>
      <c r="M121" s="10">
        <v>118.45396991163292</v>
      </c>
      <c r="N121" s="10">
        <v>155.66842394225469</v>
      </c>
      <c r="O121" s="14">
        <v>1</v>
      </c>
      <c r="P121" s="10">
        <v>193.05705712903222</v>
      </c>
    </row>
    <row r="122" spans="1:16" ht="18">
      <c r="A122" s="2">
        <v>40147</v>
      </c>
      <c r="B122" s="3">
        <v>2774.2800476899997</v>
      </c>
      <c r="C122" s="3">
        <v>1873.4619468799999</v>
      </c>
      <c r="D122" s="6">
        <v>0.84914003771991597</v>
      </c>
      <c r="E122" s="6">
        <v>0.68562197192869523</v>
      </c>
      <c r="F122" s="6">
        <f t="shared" si="1"/>
        <v>0.6959294226506525</v>
      </c>
      <c r="G122" s="3">
        <v>15339.295983000002</v>
      </c>
      <c r="H122" s="3">
        <v>10675.067397316665</v>
      </c>
      <c r="I122" s="3">
        <v>4511.08849775</v>
      </c>
      <c r="J122" s="10">
        <v>1973.57</v>
      </c>
      <c r="K122" s="11">
        <v>72.62</v>
      </c>
      <c r="L122" s="11">
        <v>3.6907000000000001</v>
      </c>
      <c r="M122" s="10">
        <v>88.560832387140636</v>
      </c>
      <c r="N122" s="10">
        <v>152.28769934218434</v>
      </c>
      <c r="O122" s="14">
        <v>1.4</v>
      </c>
      <c r="P122" s="10">
        <v>154.66830499999998</v>
      </c>
    </row>
    <row r="123" spans="1:16" ht="18">
      <c r="A123" s="2">
        <v>40178</v>
      </c>
      <c r="B123" s="3">
        <v>2353.1071228300007</v>
      </c>
      <c r="C123" s="3">
        <v>2394.7064379700005</v>
      </c>
      <c r="D123" s="6">
        <v>0.88718851512211383</v>
      </c>
      <c r="E123" s="6">
        <v>0.79436867947795453</v>
      </c>
      <c r="F123" s="6">
        <f t="shared" si="1"/>
        <v>0.66003344336260916</v>
      </c>
      <c r="G123" s="3">
        <v>15428.39681100001</v>
      </c>
      <c r="H123" s="3">
        <v>10183.257872729035</v>
      </c>
      <c r="I123" s="3">
        <v>4652.4572561299992</v>
      </c>
      <c r="J123" s="10">
        <v>2017.05</v>
      </c>
      <c r="K123" s="11">
        <v>78.449999999999989</v>
      </c>
      <c r="L123" s="11">
        <v>5.3651999999999997</v>
      </c>
      <c r="M123" s="10">
        <v>80.739141690190479</v>
      </c>
      <c r="N123" s="10">
        <v>150</v>
      </c>
      <c r="O123" s="14">
        <v>1.6</v>
      </c>
      <c r="P123" s="10">
        <v>199.72</v>
      </c>
    </row>
    <row r="124" spans="1:16" ht="18">
      <c r="A124" s="2">
        <v>40209</v>
      </c>
      <c r="B124" s="3">
        <v>2097.9261077900001</v>
      </c>
      <c r="C124" s="3">
        <v>2501.6696116199996</v>
      </c>
      <c r="D124" s="6">
        <v>0.82181662818100498</v>
      </c>
      <c r="E124" s="6">
        <v>0.74272939534476334</v>
      </c>
      <c r="F124" s="6">
        <f t="shared" si="1"/>
        <v>0.61661617645811617</v>
      </c>
      <c r="G124" s="3">
        <v>15428.39681100001</v>
      </c>
      <c r="H124" s="3">
        <v>9513.3990504774192</v>
      </c>
      <c r="I124" s="3">
        <v>4481.5939260800005</v>
      </c>
      <c r="J124" s="10">
        <v>1978.19</v>
      </c>
      <c r="K124" s="11">
        <v>91.97</v>
      </c>
      <c r="L124" s="11">
        <v>5.8068999999999997</v>
      </c>
      <c r="M124" s="10">
        <v>80.042626700964362</v>
      </c>
      <c r="N124" s="10">
        <v>142.83221741008248</v>
      </c>
      <c r="O124" s="14">
        <v>1.5</v>
      </c>
      <c r="P124" s="10">
        <v>154.66592380645162</v>
      </c>
    </row>
    <row r="125" spans="1:16" ht="18">
      <c r="A125" s="2">
        <v>40237</v>
      </c>
      <c r="B125" s="3">
        <v>2275.6464994899998</v>
      </c>
      <c r="C125" s="3">
        <v>2116.4549175899992</v>
      </c>
      <c r="D125" s="6">
        <v>0.78596502778684862</v>
      </c>
      <c r="E125" s="6">
        <v>0.79835018974561922</v>
      </c>
      <c r="F125" s="6">
        <f t="shared" si="1"/>
        <v>0.52757161000243535</v>
      </c>
      <c r="G125" s="3">
        <v>15428.39681100001</v>
      </c>
      <c r="H125" s="3">
        <v>8139.5841453357143</v>
      </c>
      <c r="I125" s="3">
        <v>4321.2311462799989</v>
      </c>
      <c r="J125" s="10">
        <v>1952.89</v>
      </c>
      <c r="K125" s="11">
        <v>88.775000000000006</v>
      </c>
      <c r="L125" s="11">
        <v>5.3357000000000001</v>
      </c>
      <c r="M125" s="10">
        <v>106.0598235299054</v>
      </c>
      <c r="N125" s="10">
        <v>165.30773572079832</v>
      </c>
      <c r="O125" s="14">
        <v>1.2</v>
      </c>
      <c r="P125" s="10">
        <v>199.35045764285718</v>
      </c>
    </row>
    <row r="126" spans="1:16" ht="18">
      <c r="A126" s="2">
        <v>40268</v>
      </c>
      <c r="B126" s="3">
        <v>2756.9379915099998</v>
      </c>
      <c r="C126" s="3">
        <v>2110.7850025500002</v>
      </c>
      <c r="D126" s="6">
        <v>0.75732844358489415</v>
      </c>
      <c r="E126" s="6">
        <v>0.72743827849422615</v>
      </c>
      <c r="F126" s="6">
        <f t="shared" si="1"/>
        <v>0.44443193203463105</v>
      </c>
      <c r="G126" s="3">
        <v>15428.39681100001</v>
      </c>
      <c r="H126" s="3">
        <v>6856.8722029096743</v>
      </c>
      <c r="I126" s="3">
        <v>4796.9162555700004</v>
      </c>
      <c r="J126" s="10">
        <v>1909.1</v>
      </c>
      <c r="K126" s="11">
        <v>88.668750000000003</v>
      </c>
      <c r="L126" s="11">
        <v>4.2923999999999998</v>
      </c>
      <c r="M126" s="10">
        <v>110.7600634482742</v>
      </c>
      <c r="N126" s="10">
        <v>182.65502106540731</v>
      </c>
      <c r="O126" s="14">
        <v>0.8</v>
      </c>
      <c r="P126" s="10">
        <v>192.7581582580645</v>
      </c>
    </row>
    <row r="127" spans="1:16" ht="18">
      <c r="A127" s="2">
        <v>40298</v>
      </c>
      <c r="B127" s="3">
        <v>2677.0120420800004</v>
      </c>
      <c r="C127" s="3">
        <v>1912.1484240899999</v>
      </c>
      <c r="D127" s="6">
        <v>0.80666271891847818</v>
      </c>
      <c r="E127" s="6">
        <v>0.76416975388254016</v>
      </c>
      <c r="F127" s="6">
        <f t="shared" si="1"/>
        <v>0.41822329514514911</v>
      </c>
      <c r="G127" s="3">
        <v>15428.39681100001</v>
      </c>
      <c r="H127" s="3">
        <v>6452.5149531033339</v>
      </c>
      <c r="I127" s="3">
        <v>4523.8012763200004</v>
      </c>
      <c r="J127" s="10">
        <v>1940.36</v>
      </c>
      <c r="K127" s="11">
        <v>94.425000000000011</v>
      </c>
      <c r="L127" s="11">
        <v>4.0058999999999996</v>
      </c>
      <c r="M127" s="10">
        <v>113.85828158888555</v>
      </c>
      <c r="N127" s="10">
        <v>218.15396835477938</v>
      </c>
      <c r="O127" s="14">
        <v>0.4</v>
      </c>
      <c r="P127" s="10">
        <v>197.63015170000003</v>
      </c>
    </row>
    <row r="128" spans="1:16" ht="18">
      <c r="A128" s="2">
        <v>40329</v>
      </c>
      <c r="B128" s="3">
        <v>3153.4213263499992</v>
      </c>
      <c r="C128" s="3">
        <v>1612.2208190199995</v>
      </c>
      <c r="D128" s="6">
        <v>0.83951973646825739</v>
      </c>
      <c r="E128" s="6">
        <v>0.82567573458573762</v>
      </c>
      <c r="F128" s="6">
        <f t="shared" si="1"/>
        <v>0.44791011238270617</v>
      </c>
      <c r="G128" s="3">
        <v>15428.39681100001</v>
      </c>
      <c r="H128" s="3">
        <v>6910.5349495</v>
      </c>
      <c r="I128" s="3">
        <v>4696.8059071799998</v>
      </c>
      <c r="J128" s="10">
        <v>1984.36</v>
      </c>
      <c r="K128" s="11">
        <v>95.533749999999998</v>
      </c>
      <c r="L128" s="11">
        <v>4.1559999999999997</v>
      </c>
      <c r="M128" s="10">
        <v>109.97455288366719</v>
      </c>
      <c r="N128" s="10">
        <v>267.33483248585418</v>
      </c>
      <c r="O128" s="14">
        <v>-0.2</v>
      </c>
      <c r="P128" s="10">
        <v>151.80682538709675</v>
      </c>
    </row>
    <row r="129" spans="1:16" ht="18">
      <c r="A129" s="2">
        <v>40359</v>
      </c>
      <c r="B129" s="3">
        <v>3863.4942220799994</v>
      </c>
      <c r="C129" s="3">
        <v>755.81145889999982</v>
      </c>
      <c r="D129" s="6">
        <v>0.84745808775535281</v>
      </c>
      <c r="E129" s="6">
        <v>0.81704872131319128</v>
      </c>
      <c r="F129" s="6">
        <f t="shared" si="1"/>
        <v>0.51587376013356867</v>
      </c>
      <c r="G129" s="3">
        <v>15428.39681100001</v>
      </c>
      <c r="H129" s="3">
        <v>7959.1050757233343</v>
      </c>
      <c r="I129" s="3">
        <v>4485.0752367200002</v>
      </c>
      <c r="J129" s="10">
        <v>1925.9</v>
      </c>
      <c r="K129" s="11">
        <v>95.5</v>
      </c>
      <c r="L129" s="11">
        <v>4.7948000000000004</v>
      </c>
      <c r="M129" s="10">
        <v>105.77869543255605</v>
      </c>
      <c r="N129" s="10">
        <v>301.25368308470382</v>
      </c>
      <c r="O129" s="14">
        <v>-0.7</v>
      </c>
      <c r="P129" s="10">
        <v>93.613183600000013</v>
      </c>
    </row>
    <row r="130" spans="1:16" ht="18">
      <c r="A130" s="2">
        <v>40390</v>
      </c>
      <c r="B130" s="3">
        <v>4092.2378236500008</v>
      </c>
      <c r="C130" s="3">
        <v>648.9947249999999</v>
      </c>
      <c r="D130" s="6">
        <v>0.85685932404045995</v>
      </c>
      <c r="E130" s="6">
        <v>0.8286175113484654</v>
      </c>
      <c r="F130" s="6">
        <f t="shared" si="1"/>
        <v>0.58839549602344199</v>
      </c>
      <c r="G130" s="3">
        <v>15428.39681100001</v>
      </c>
      <c r="H130" s="3">
        <v>9077.9991944548419</v>
      </c>
      <c r="I130" s="3">
        <v>4597.4001701600009</v>
      </c>
      <c r="J130" s="10">
        <v>1874.52</v>
      </c>
      <c r="K130" s="11">
        <v>93.295000000000002</v>
      </c>
      <c r="L130" s="11">
        <v>4.6265999999999998</v>
      </c>
      <c r="M130" s="10">
        <v>117.99467216467625</v>
      </c>
      <c r="N130" s="10">
        <v>277.59082546981045</v>
      </c>
      <c r="O130" s="14">
        <v>-1</v>
      </c>
      <c r="P130" s="10">
        <v>84.21486167741935</v>
      </c>
    </row>
    <row r="131" spans="1:16" ht="18">
      <c r="A131" s="2">
        <v>40421</v>
      </c>
      <c r="B131" s="3">
        <v>4051.2986468099998</v>
      </c>
      <c r="C131" s="3">
        <v>744.19409896999991</v>
      </c>
      <c r="D131" s="6">
        <v>0.87115498674644087</v>
      </c>
      <c r="E131" s="6">
        <v>0.7741648297727195</v>
      </c>
      <c r="F131" s="6">
        <f t="shared" si="1"/>
        <v>0.63781845030884365</v>
      </c>
      <c r="G131" s="3">
        <v>15428.39681100001</v>
      </c>
      <c r="H131" s="3">
        <v>9840.5161447419323</v>
      </c>
      <c r="I131" s="3">
        <v>4657.8605547599991</v>
      </c>
      <c r="J131" s="10">
        <v>1819.06</v>
      </c>
      <c r="K131" s="11">
        <v>88.84</v>
      </c>
      <c r="L131" s="11">
        <v>4.3049999999999997</v>
      </c>
      <c r="M131" s="10">
        <v>102.09270868917369</v>
      </c>
      <c r="N131" s="10">
        <v>308.8262481798231</v>
      </c>
      <c r="O131" s="14">
        <v>-1.3</v>
      </c>
      <c r="P131" s="10">
        <v>86.824723774193558</v>
      </c>
    </row>
    <row r="132" spans="1:16" ht="18">
      <c r="A132" s="2">
        <v>40451</v>
      </c>
      <c r="B132" s="3">
        <v>3889.8012619099991</v>
      </c>
      <c r="C132" s="3">
        <v>817.8937858700001</v>
      </c>
      <c r="D132" s="6">
        <v>0.85863382979853631</v>
      </c>
      <c r="E132" s="6">
        <v>0.72632409473858672</v>
      </c>
      <c r="F132" s="6">
        <f t="shared" ref="F132:F195" si="2">H132/G132</f>
        <v>0.65885577459204236</v>
      </c>
      <c r="G132" s="3">
        <v>15385.044100199993</v>
      </c>
      <c r="H132" s="3">
        <v>10136.525147769999</v>
      </c>
      <c r="I132" s="3">
        <v>4552.4150270599994</v>
      </c>
      <c r="J132" s="10">
        <v>1805.6</v>
      </c>
      <c r="K132" s="11">
        <v>90.36</v>
      </c>
      <c r="L132" s="11">
        <v>3.9039000000000001</v>
      </c>
      <c r="M132" s="10">
        <v>92.260768158969128</v>
      </c>
      <c r="N132" s="10">
        <v>303.46072203656036</v>
      </c>
      <c r="O132" s="14">
        <v>-1.6</v>
      </c>
      <c r="P132" s="10">
        <v>114.72218683333334</v>
      </c>
    </row>
    <row r="133" spans="1:16" ht="18">
      <c r="A133" s="2">
        <v>40482</v>
      </c>
      <c r="B133" s="3">
        <v>3852.6249702899991</v>
      </c>
      <c r="C133" s="3">
        <v>1043.7414170299999</v>
      </c>
      <c r="D133" s="6">
        <v>0.80954074538400933</v>
      </c>
      <c r="E133" s="6">
        <v>0.70228760676324276</v>
      </c>
      <c r="F133" s="6">
        <f t="shared" si="2"/>
        <v>0.68731556975865371</v>
      </c>
      <c r="G133" s="3">
        <v>15366.464366999993</v>
      </c>
      <c r="H133" s="3">
        <v>10561.61021158065</v>
      </c>
      <c r="I133" s="3">
        <v>4699.8275461100002</v>
      </c>
      <c r="J133" s="10">
        <v>1808.46</v>
      </c>
      <c r="K133" s="11">
        <v>94.22</v>
      </c>
      <c r="L133" s="11">
        <v>3.4315000000000002</v>
      </c>
      <c r="M133" s="10">
        <v>104.32557564614338</v>
      </c>
      <c r="N133" s="10">
        <v>262.79400940339582</v>
      </c>
      <c r="O133" s="14">
        <v>-1.6</v>
      </c>
      <c r="P133" s="10">
        <v>139.38624883870966</v>
      </c>
    </row>
    <row r="134" spans="1:16" ht="18">
      <c r="A134" s="2">
        <v>40512</v>
      </c>
      <c r="B134" s="3">
        <v>3876.3736457799996</v>
      </c>
      <c r="C134" s="3">
        <v>918.16876241</v>
      </c>
      <c r="D134" s="6">
        <v>0.83064858206896064</v>
      </c>
      <c r="E134" s="6">
        <v>0.73441748192841638</v>
      </c>
      <c r="F134" s="6">
        <f t="shared" si="2"/>
        <v>0.76068134869435677</v>
      </c>
      <c r="G134" s="3">
        <v>15366.464366999995</v>
      </c>
      <c r="H134" s="3">
        <v>11688.982839353332</v>
      </c>
      <c r="I134" s="3">
        <v>4509.0680457600001</v>
      </c>
      <c r="J134" s="10">
        <v>1863.67</v>
      </c>
      <c r="K134" s="11">
        <v>105.18</v>
      </c>
      <c r="L134" s="11">
        <v>3.7272500000000002</v>
      </c>
      <c r="M134" s="10">
        <v>100.95923460841841</v>
      </c>
      <c r="N134" s="10">
        <v>271.09829661913051</v>
      </c>
      <c r="O134" s="14">
        <v>-1.6</v>
      </c>
      <c r="P134" s="10">
        <v>95.246460266666674</v>
      </c>
    </row>
    <row r="135" spans="1:16" ht="18">
      <c r="A135" s="2">
        <v>40543</v>
      </c>
      <c r="B135" s="3">
        <v>3970.6880887000011</v>
      </c>
      <c r="C135" s="3">
        <v>902.1980850399998</v>
      </c>
      <c r="D135" s="6">
        <v>0.89520061459286715</v>
      </c>
      <c r="E135" s="6">
        <v>0.83197109323085572</v>
      </c>
      <c r="F135" s="6">
        <f t="shared" si="2"/>
        <v>0.79410671682901357</v>
      </c>
      <c r="G135" s="3">
        <v>15366.464366999993</v>
      </c>
      <c r="H135" s="3">
        <v>12202.612567748391</v>
      </c>
      <c r="I135" s="3">
        <v>4593.7330253200007</v>
      </c>
      <c r="J135" s="10">
        <v>1925.86</v>
      </c>
      <c r="K135" s="11">
        <v>116.765</v>
      </c>
      <c r="L135" s="11">
        <v>4.2370952381000002</v>
      </c>
      <c r="M135" s="10">
        <v>91.284130330280561</v>
      </c>
      <c r="N135" s="10">
        <v>279.06971370464305</v>
      </c>
      <c r="O135" s="14">
        <v>-1.5</v>
      </c>
      <c r="P135" s="10">
        <v>70.238073612903207</v>
      </c>
    </row>
    <row r="136" spans="1:16" ht="18">
      <c r="A136" s="2">
        <v>40574</v>
      </c>
      <c r="B136" s="3">
        <v>3889.8628170800007</v>
      </c>
      <c r="C136" s="3">
        <v>923.48995816000001</v>
      </c>
      <c r="D136" s="6">
        <v>0.8119350041844845</v>
      </c>
      <c r="E136" s="6">
        <v>0.64683650313142249</v>
      </c>
      <c r="F136" s="6">
        <f t="shared" si="2"/>
        <v>0.72954725619651362</v>
      </c>
      <c r="G136" s="3">
        <v>15641.323454999998</v>
      </c>
      <c r="H136" s="3">
        <v>11411.084609877422</v>
      </c>
      <c r="I136" s="3">
        <v>4541.8756220199984</v>
      </c>
      <c r="J136" s="10">
        <v>1866.64</v>
      </c>
      <c r="K136" s="11">
        <v>127.55</v>
      </c>
      <c r="L136" s="11">
        <v>4.4934000000000003</v>
      </c>
      <c r="M136" s="10">
        <v>98.119433258211387</v>
      </c>
      <c r="N136" s="10">
        <v>268.78289545870018</v>
      </c>
      <c r="O136" s="14">
        <v>-1.3</v>
      </c>
      <c r="P136" s="10">
        <v>91.380568612903232</v>
      </c>
    </row>
    <row r="137" spans="1:16" ht="18">
      <c r="A137" s="2">
        <v>40602</v>
      </c>
      <c r="B137" s="3">
        <v>3558.0524145000004</v>
      </c>
      <c r="C137" s="3">
        <v>898.58880707999992</v>
      </c>
      <c r="D137" s="6">
        <v>0.79671321969356146</v>
      </c>
      <c r="E137" s="6">
        <v>0.84701008560942748</v>
      </c>
      <c r="F137" s="6">
        <f t="shared" si="2"/>
        <v>0.61964230147322052</v>
      </c>
      <c r="G137" s="3">
        <v>15772.208734999995</v>
      </c>
      <c r="H137" s="3">
        <v>9773.1277198714288</v>
      </c>
      <c r="I137" s="3">
        <v>4237.4212049700009</v>
      </c>
      <c r="J137" s="10">
        <v>1882.61</v>
      </c>
      <c r="K137" s="11">
        <v>123.05000000000001</v>
      </c>
      <c r="L137" s="11">
        <v>4.0749000000000004</v>
      </c>
      <c r="M137" s="10">
        <v>97.863691105379644</v>
      </c>
      <c r="N137" s="10">
        <v>266.62021421424083</v>
      </c>
      <c r="O137" s="14">
        <v>-1</v>
      </c>
      <c r="P137" s="10">
        <v>106.617214</v>
      </c>
    </row>
    <row r="138" spans="1:16" ht="18">
      <c r="A138" s="2">
        <v>40633</v>
      </c>
      <c r="B138" s="3">
        <v>4244.5498060700011</v>
      </c>
      <c r="C138" s="3">
        <v>779.63673371000004</v>
      </c>
      <c r="D138" s="6">
        <v>0.81904707186110448</v>
      </c>
      <c r="E138" s="6">
        <v>0.76372572863740229</v>
      </c>
      <c r="F138" s="6">
        <f t="shared" si="2"/>
        <v>0.58006356586310381</v>
      </c>
      <c r="G138" s="3">
        <v>15772.208734999995</v>
      </c>
      <c r="H138" s="3">
        <v>9148.8836403612913</v>
      </c>
      <c r="I138" s="3">
        <v>4672.5079323600012</v>
      </c>
      <c r="J138" s="10">
        <v>1884.38</v>
      </c>
      <c r="K138" s="11">
        <v>123.565</v>
      </c>
      <c r="L138" s="11">
        <v>3.9712999999999998</v>
      </c>
      <c r="M138" s="10">
        <v>131.93497426366571</v>
      </c>
      <c r="N138" s="10">
        <v>284.85859804985887</v>
      </c>
      <c r="O138" s="14">
        <v>-0.8</v>
      </c>
      <c r="P138" s="10">
        <v>81.135330709677405</v>
      </c>
    </row>
    <row r="139" spans="1:16" ht="18">
      <c r="A139" s="2">
        <v>40663</v>
      </c>
      <c r="B139" s="3">
        <v>3958.0342514199992</v>
      </c>
      <c r="C139" s="3">
        <v>698.87848806</v>
      </c>
      <c r="D139" s="6">
        <v>0.80564514228811179</v>
      </c>
      <c r="E139" s="6">
        <v>0.88919405111373984</v>
      </c>
      <c r="F139" s="6">
        <f t="shared" si="2"/>
        <v>0.65857643482043371</v>
      </c>
      <c r="G139" s="3">
        <v>15772.208734999995</v>
      </c>
      <c r="H139" s="3">
        <v>10387.20499794</v>
      </c>
      <c r="I139" s="3">
        <v>4475.1063526799999</v>
      </c>
      <c r="J139" s="10">
        <v>1812.77</v>
      </c>
      <c r="K139" s="11">
        <v>123.265</v>
      </c>
      <c r="L139" s="11">
        <v>4.2423999999999999</v>
      </c>
      <c r="M139" s="10">
        <v>169.33030980697725</v>
      </c>
      <c r="N139" s="10">
        <v>289.74596065588668</v>
      </c>
      <c r="O139" s="14">
        <v>-0.6</v>
      </c>
      <c r="P139" s="10">
        <v>76.050652166666666</v>
      </c>
    </row>
    <row r="140" spans="1:16" ht="18">
      <c r="A140" s="2">
        <v>40694</v>
      </c>
      <c r="B140" s="3">
        <v>4296.8159882499995</v>
      </c>
      <c r="C140" s="3">
        <v>597.47926779000011</v>
      </c>
      <c r="D140" s="6">
        <v>0.87257230820402432</v>
      </c>
      <c r="E140" s="6">
        <v>0.74031467869715761</v>
      </c>
      <c r="F140" s="6">
        <f t="shared" si="2"/>
        <v>0.80771410178891334</v>
      </c>
      <c r="G140" s="3">
        <v>15781.489430193538</v>
      </c>
      <c r="H140" s="3">
        <v>12746.931560000003</v>
      </c>
      <c r="I140" s="3">
        <v>4745.0404259799989</v>
      </c>
      <c r="J140" s="10">
        <v>1801.65</v>
      </c>
      <c r="K140" s="11">
        <v>119.78999999999999</v>
      </c>
      <c r="L140" s="11">
        <v>4.3089545454499998</v>
      </c>
      <c r="M140" s="10">
        <v>181.71363828601355</v>
      </c>
      <c r="N140" s="10">
        <v>266.00425371106735</v>
      </c>
      <c r="O140" s="14">
        <v>-0.5</v>
      </c>
      <c r="P140" s="10">
        <v>61.4056723548387</v>
      </c>
    </row>
    <row r="141" spans="1:16" ht="18">
      <c r="A141" s="2">
        <v>40724</v>
      </c>
      <c r="B141" s="3">
        <v>4055.427585500001</v>
      </c>
      <c r="C141" s="3">
        <v>668.11781179000013</v>
      </c>
      <c r="D141" s="6">
        <v>0.83051258423552421</v>
      </c>
      <c r="E141" s="6">
        <v>0.80897356229865947</v>
      </c>
      <c r="F141" s="6">
        <f t="shared" si="2"/>
        <v>0.83866121566778018</v>
      </c>
      <c r="G141" s="3">
        <v>15782.86434799999</v>
      </c>
      <c r="H141" s="3">
        <v>13236.476200813338</v>
      </c>
      <c r="I141" s="3">
        <v>4587.6261542299999</v>
      </c>
      <c r="J141" s="10">
        <v>1782.54</v>
      </c>
      <c r="K141" s="11">
        <v>119.55000000000001</v>
      </c>
      <c r="L141" s="11">
        <v>4.5490000000000004</v>
      </c>
      <c r="M141" s="10">
        <v>183.04294699421106</v>
      </c>
      <c r="N141" s="10">
        <v>315.61062096789243</v>
      </c>
      <c r="O141" s="14">
        <v>-0.4</v>
      </c>
      <c r="P141" s="10">
        <v>62.375916733333348</v>
      </c>
    </row>
    <row r="142" spans="1:16" ht="18">
      <c r="A142" s="2">
        <v>40755</v>
      </c>
      <c r="B142" s="3">
        <v>4086.4944205700008</v>
      </c>
      <c r="C142" s="3">
        <v>739.69948415999988</v>
      </c>
      <c r="D142" s="6">
        <v>0.81354572637779166</v>
      </c>
      <c r="E142" s="6">
        <v>0.88788810280470565</v>
      </c>
      <c r="F142" s="6">
        <f t="shared" si="2"/>
        <v>0.84454610330410307</v>
      </c>
      <c r="G142" s="3">
        <v>15782.864347999988</v>
      </c>
      <c r="H142" s="3">
        <v>13329.356584080644</v>
      </c>
      <c r="I142" s="3">
        <v>4705.5283585699999</v>
      </c>
      <c r="J142" s="10">
        <v>1761.75</v>
      </c>
      <c r="K142" s="11">
        <v>118.50999999999999</v>
      </c>
      <c r="L142" s="11">
        <v>4.4131</v>
      </c>
      <c r="M142" s="10">
        <v>167.22759344274942</v>
      </c>
      <c r="N142" s="10">
        <v>318.59963364923755</v>
      </c>
      <c r="O142" s="14">
        <v>-0.4</v>
      </c>
      <c r="P142" s="10">
        <v>57.399447967741928</v>
      </c>
    </row>
    <row r="143" spans="1:16" ht="18">
      <c r="A143" s="2">
        <v>40786</v>
      </c>
      <c r="B143" s="3">
        <v>4032.4453583</v>
      </c>
      <c r="C143" s="3">
        <v>963.04288233</v>
      </c>
      <c r="D143" s="6">
        <v>0.79261949453900182</v>
      </c>
      <c r="E143" s="6">
        <v>0.85279052577713788</v>
      </c>
      <c r="F143" s="6">
        <f t="shared" si="2"/>
        <v>0.83177045175042386</v>
      </c>
      <c r="G143" s="3">
        <v>15782.864347999988</v>
      </c>
      <c r="H143" s="3">
        <v>13127.72020865161</v>
      </c>
      <c r="I143" s="3">
        <v>4857.9094913299996</v>
      </c>
      <c r="J143" s="10">
        <v>1785.04</v>
      </c>
      <c r="K143" s="11">
        <v>119.19999999999999</v>
      </c>
      <c r="L143" s="11">
        <v>4.0538999999999996</v>
      </c>
      <c r="M143" s="10">
        <v>143.42321714035</v>
      </c>
      <c r="N143" s="10">
        <v>314.17419564141403</v>
      </c>
      <c r="O143" s="14">
        <v>-0.6</v>
      </c>
      <c r="P143" s="10">
        <v>91.968504161290312</v>
      </c>
    </row>
    <row r="144" spans="1:16" ht="18">
      <c r="A144" s="2">
        <v>40816</v>
      </c>
      <c r="B144" s="3">
        <v>3987.0529664699998</v>
      </c>
      <c r="C144" s="3">
        <v>927.66939298999989</v>
      </c>
      <c r="D144" s="6">
        <v>0.80742623086189547</v>
      </c>
      <c r="E144" s="6">
        <v>0.81797771304379185</v>
      </c>
      <c r="F144" s="6">
        <f t="shared" si="2"/>
        <v>0.81259083823580602</v>
      </c>
      <c r="G144" s="3">
        <v>15782.86434799999</v>
      </c>
      <c r="H144" s="3">
        <v>12825.01097030333</v>
      </c>
      <c r="I144" s="3">
        <v>4725.5877462600001</v>
      </c>
      <c r="J144" s="10">
        <v>1836.15</v>
      </c>
      <c r="K144" s="11">
        <v>119.355</v>
      </c>
      <c r="L144" s="11">
        <v>3.9013</v>
      </c>
      <c r="M144" s="10">
        <v>152.7982372007655</v>
      </c>
      <c r="N144" s="10">
        <v>326.62032785866</v>
      </c>
      <c r="O144" s="14">
        <v>-0.8</v>
      </c>
      <c r="P144" s="10">
        <v>96.352144700000011</v>
      </c>
    </row>
    <row r="145" spans="1:16" ht="18">
      <c r="A145" s="2">
        <v>40847</v>
      </c>
      <c r="B145" s="3">
        <v>4106.0294159899995</v>
      </c>
      <c r="C145" s="3">
        <v>892.09144408999975</v>
      </c>
      <c r="D145" s="6">
        <v>0.80670076331841134</v>
      </c>
      <c r="E145" s="6">
        <v>0.71312445859835438</v>
      </c>
      <c r="F145" s="6">
        <f t="shared" si="2"/>
        <v>0.82146085313401196</v>
      </c>
      <c r="G145" s="3">
        <v>15782.864347999988</v>
      </c>
      <c r="H145" s="3">
        <v>12965.005212206452</v>
      </c>
      <c r="I145" s="3">
        <v>4765.97491954</v>
      </c>
      <c r="J145" s="10">
        <v>1910.38</v>
      </c>
      <c r="K145" s="11">
        <v>115.13499999999999</v>
      </c>
      <c r="L145" s="11">
        <v>3.5680000000000001</v>
      </c>
      <c r="M145" s="10">
        <v>163.83942133047745</v>
      </c>
      <c r="N145" s="10">
        <v>366.91852361297458</v>
      </c>
      <c r="O145" s="14">
        <v>-1</v>
      </c>
      <c r="P145" s="10">
        <v>76.814411548387099</v>
      </c>
    </row>
    <row r="146" spans="1:16" ht="18">
      <c r="A146" s="2">
        <v>40877</v>
      </c>
      <c r="B146" s="3">
        <v>4067.6335353900008</v>
      </c>
      <c r="C146" s="3">
        <v>915.59552272000008</v>
      </c>
      <c r="D146" s="6">
        <v>0.8525688873247641</v>
      </c>
      <c r="E146" s="6">
        <v>0.64041286419277887</v>
      </c>
      <c r="F146" s="6">
        <f t="shared" si="2"/>
        <v>0.86185907138673024</v>
      </c>
      <c r="G146" s="3">
        <v>15782.86434799999</v>
      </c>
      <c r="H146" s="3">
        <v>13602.604810790002</v>
      </c>
      <c r="I146" s="3">
        <v>4674.0115831599996</v>
      </c>
      <c r="J146" s="10">
        <v>1918.21</v>
      </c>
      <c r="K146" s="11">
        <v>109.625</v>
      </c>
      <c r="L146" s="11">
        <v>3.2424499999999998</v>
      </c>
      <c r="M146" s="10">
        <v>169.76470701996442</v>
      </c>
      <c r="N146" s="10">
        <v>363.25864868369302</v>
      </c>
      <c r="O146" s="14">
        <v>-1</v>
      </c>
      <c r="P146" s="10">
        <v>74.070176466666666</v>
      </c>
    </row>
    <row r="147" spans="1:16" ht="18">
      <c r="A147" s="2">
        <v>40908</v>
      </c>
      <c r="B147" s="3">
        <v>4149.3282880199995</v>
      </c>
      <c r="C147" s="3">
        <v>831.78138203999993</v>
      </c>
      <c r="D147" s="6">
        <v>0.90021213061481542</v>
      </c>
      <c r="E147" s="6">
        <v>0.72250256233570143</v>
      </c>
      <c r="F147" s="6">
        <f t="shared" si="2"/>
        <v>0.9072871806040681</v>
      </c>
      <c r="G147" s="3">
        <v>15764.303161548385</v>
      </c>
      <c r="H147" s="3">
        <v>14302.750169629031</v>
      </c>
      <c r="I147" s="3">
        <v>4765.21519997</v>
      </c>
      <c r="J147" s="10">
        <v>1934.08</v>
      </c>
      <c r="K147" s="11">
        <v>107.875</v>
      </c>
      <c r="L147" s="11">
        <v>3.16423809524</v>
      </c>
      <c r="M147" s="10">
        <v>189.20210887853679</v>
      </c>
      <c r="N147" s="10">
        <v>353.93371580153456</v>
      </c>
      <c r="O147" s="14">
        <v>-0.9</v>
      </c>
      <c r="P147" s="10">
        <v>57.76147935483872</v>
      </c>
    </row>
    <row r="148" spans="1:16" ht="18">
      <c r="A148" s="2">
        <v>40939</v>
      </c>
      <c r="B148" s="3">
        <v>4022.9639278999994</v>
      </c>
      <c r="C148" s="3">
        <v>773.7280936599999</v>
      </c>
      <c r="D148" s="6">
        <v>0.87339492743677305</v>
      </c>
      <c r="E148" s="6">
        <v>0.83142568595124944</v>
      </c>
      <c r="F148" s="6">
        <f t="shared" si="2"/>
        <v>0.86778237807410463</v>
      </c>
      <c r="G148" s="3">
        <v>15302.949917419359</v>
      </c>
      <c r="H148" s="3">
        <v>13279.630270887094</v>
      </c>
      <c r="I148" s="3">
        <v>4684.8536284599995</v>
      </c>
      <c r="J148" s="10">
        <v>1852.12</v>
      </c>
      <c r="K148" s="11">
        <v>111.36</v>
      </c>
      <c r="L148" s="11">
        <v>2.6797</v>
      </c>
      <c r="M148" s="10">
        <v>216.86755701583141</v>
      </c>
      <c r="N148" s="10">
        <v>286.8447705248542</v>
      </c>
      <c r="O148" s="14">
        <v>-0.7</v>
      </c>
      <c r="P148" s="10">
        <v>55.408844645161302</v>
      </c>
    </row>
    <row r="149" spans="1:16" ht="18">
      <c r="A149" s="2">
        <v>40968</v>
      </c>
      <c r="B149" s="3">
        <v>3985.9115849999994</v>
      </c>
      <c r="C149" s="3">
        <v>637.48083035000002</v>
      </c>
      <c r="D149" s="6">
        <v>0.82631566055481198</v>
      </c>
      <c r="E149" s="6">
        <v>0.89198168136285194</v>
      </c>
      <c r="F149" s="6">
        <f t="shared" si="2"/>
        <v>0.78522524902879975</v>
      </c>
      <c r="G149" s="3">
        <v>15240.375880000005</v>
      </c>
      <c r="H149" s="3">
        <v>11967.127945665517</v>
      </c>
      <c r="I149" s="3">
        <v>4524.4195417499996</v>
      </c>
      <c r="J149" s="10">
        <v>1783.56</v>
      </c>
      <c r="K149" s="11">
        <v>111.16</v>
      </c>
      <c r="L149" s="11">
        <v>2.5192000000000001</v>
      </c>
      <c r="M149" s="10">
        <v>204.68214034312854</v>
      </c>
      <c r="N149" s="10">
        <v>258.56660246650284</v>
      </c>
      <c r="O149" s="14">
        <v>-0.6</v>
      </c>
      <c r="P149" s="10">
        <v>80.177735655172427</v>
      </c>
    </row>
    <row r="150" spans="1:16" ht="18">
      <c r="A150" s="2">
        <v>40999</v>
      </c>
      <c r="B150" s="3">
        <v>4158.6089697700008</v>
      </c>
      <c r="C150" s="3">
        <v>865.11813606999999</v>
      </c>
      <c r="D150" s="6">
        <v>0.81266749491147272</v>
      </c>
      <c r="E150" s="6">
        <v>0.89673653736630343</v>
      </c>
      <c r="F150" s="6">
        <f t="shared" si="2"/>
        <v>0.67437171425844822</v>
      </c>
      <c r="G150" s="3">
        <v>15240.375880000005</v>
      </c>
      <c r="H150" s="3">
        <v>10277.67840813871</v>
      </c>
      <c r="I150" s="3">
        <v>4915.5609506199999</v>
      </c>
      <c r="J150" s="10">
        <v>1766.34</v>
      </c>
      <c r="K150" s="11">
        <v>105.44499999999999</v>
      </c>
      <c r="L150" s="11">
        <v>2.1661000000000001</v>
      </c>
      <c r="M150" s="10">
        <v>177.14836041230967</v>
      </c>
      <c r="N150" s="10">
        <v>194.77182931395714</v>
      </c>
      <c r="O150" s="14">
        <v>-0.5</v>
      </c>
      <c r="P150" s="10">
        <v>120.10121451612903</v>
      </c>
    </row>
    <row r="151" spans="1:16" ht="18">
      <c r="A151" s="2">
        <v>41029</v>
      </c>
      <c r="B151" s="3">
        <v>3965.9031520999997</v>
      </c>
      <c r="C151" s="3">
        <v>777.17350568999973</v>
      </c>
      <c r="D151" s="6">
        <v>0.84127799940981973</v>
      </c>
      <c r="E151" s="6">
        <v>0.84090909728088437</v>
      </c>
      <c r="F151" s="6">
        <f t="shared" si="2"/>
        <v>0.70622525748032905</v>
      </c>
      <c r="G151" s="3">
        <v>15240.375880000005</v>
      </c>
      <c r="H151" s="3">
        <v>10763.13837995</v>
      </c>
      <c r="I151" s="3">
        <v>4613.0456652399989</v>
      </c>
      <c r="J151" s="10">
        <v>1775.06</v>
      </c>
      <c r="K151" s="11">
        <v>102.46000000000001</v>
      </c>
      <c r="L151" s="11">
        <v>1.9467000000000001</v>
      </c>
      <c r="M151" s="10">
        <v>156.38081735240874</v>
      </c>
      <c r="N151" s="10">
        <v>267.92963218112487</v>
      </c>
      <c r="O151" s="14">
        <v>-0.4</v>
      </c>
      <c r="P151" s="10">
        <v>58.753102466666675</v>
      </c>
    </row>
    <row r="152" spans="1:16" ht="18">
      <c r="A152" s="2">
        <v>41060</v>
      </c>
      <c r="B152" s="3">
        <v>4412.5161571100007</v>
      </c>
      <c r="C152" s="3">
        <v>639.81359114999998</v>
      </c>
      <c r="D152" s="6">
        <v>0.88411819837961769</v>
      </c>
      <c r="E152" s="6">
        <v>0.85009247084365824</v>
      </c>
      <c r="F152" s="6">
        <f t="shared" si="2"/>
        <v>0.82627531144211719</v>
      </c>
      <c r="G152" s="3">
        <v>15240.375880000005</v>
      </c>
      <c r="H152" s="3">
        <v>12592.746326741935</v>
      </c>
      <c r="I152" s="3">
        <v>4916.3980087399996</v>
      </c>
      <c r="J152" s="10">
        <v>1793.28</v>
      </c>
      <c r="K152" s="11">
        <v>94.8</v>
      </c>
      <c r="L152" s="11">
        <v>2.4373999999999998</v>
      </c>
      <c r="M152" s="10">
        <v>153.1142814894562</v>
      </c>
      <c r="N152" s="10">
        <v>206.47209280155963</v>
      </c>
      <c r="O152" s="14">
        <v>-0.2</v>
      </c>
      <c r="P152" s="10">
        <v>47.836275290322575</v>
      </c>
    </row>
    <row r="153" spans="1:16" ht="18">
      <c r="A153" s="2">
        <v>41090</v>
      </c>
      <c r="B153" s="3">
        <v>4134.5756970399998</v>
      </c>
      <c r="C153" s="3">
        <v>757.21658387000002</v>
      </c>
      <c r="D153" s="6">
        <v>0.88780764531604328</v>
      </c>
      <c r="E153" s="6">
        <v>0.83098890994576202</v>
      </c>
      <c r="F153" s="6">
        <f t="shared" si="2"/>
        <v>0.83940646765815419</v>
      </c>
      <c r="G153" s="3">
        <v>15240.375880000005</v>
      </c>
      <c r="H153" s="3">
        <v>12792.870083213338</v>
      </c>
      <c r="I153" s="3">
        <v>4762.1541020000004</v>
      </c>
      <c r="J153" s="10">
        <v>1792.63</v>
      </c>
      <c r="K153" s="11">
        <v>86.25</v>
      </c>
      <c r="L153" s="11">
        <v>2.4552</v>
      </c>
      <c r="M153" s="10">
        <v>147.64101084823287</v>
      </c>
      <c r="N153" s="10">
        <v>211.66762355876921</v>
      </c>
      <c r="O153" s="14">
        <v>0.1</v>
      </c>
      <c r="P153" s="10">
        <v>89.217613733333351</v>
      </c>
    </row>
    <row r="154" spans="1:16" ht="18">
      <c r="A154" s="2">
        <v>41121</v>
      </c>
      <c r="B154" s="3">
        <v>4126.2799938600001</v>
      </c>
      <c r="C154" s="3">
        <v>928.39425442999993</v>
      </c>
      <c r="D154" s="6">
        <v>0.85798045169657766</v>
      </c>
      <c r="E154" s="6">
        <v>0.89486626409417735</v>
      </c>
      <c r="F154" s="6">
        <f t="shared" si="2"/>
        <v>0.85726732194020372</v>
      </c>
      <c r="G154" s="3">
        <v>15240.375880000005</v>
      </c>
      <c r="H154" s="3">
        <v>13065.07621600968</v>
      </c>
      <c r="I154" s="3">
        <v>4910.6534143000008</v>
      </c>
      <c r="J154" s="10">
        <v>1784.43</v>
      </c>
      <c r="K154" s="11">
        <v>87.784999999999997</v>
      </c>
      <c r="L154" s="11">
        <v>2.9455</v>
      </c>
      <c r="M154" s="10">
        <v>140.39833840228246</v>
      </c>
      <c r="N154" s="10">
        <v>203.62049665592647</v>
      </c>
      <c r="O154" s="14">
        <v>0.3</v>
      </c>
      <c r="P154" s="10">
        <v>81.648097741935487</v>
      </c>
    </row>
    <row r="155" spans="1:16" ht="18">
      <c r="A155" s="2">
        <v>41152</v>
      </c>
      <c r="B155" s="3">
        <v>4039.8254496800005</v>
      </c>
      <c r="C155" s="3">
        <v>1068.9635760000001</v>
      </c>
      <c r="D155" s="6">
        <v>0.79323891484781295</v>
      </c>
      <c r="E155" s="6">
        <v>0.85494293292561452</v>
      </c>
      <c r="F155" s="6">
        <f t="shared" si="2"/>
        <v>0.86307787425990012</v>
      </c>
      <c r="G155" s="3">
        <v>15240.375880000005</v>
      </c>
      <c r="H155" s="3">
        <v>13153.631217432259</v>
      </c>
      <c r="I155" s="3">
        <v>4959.6722277199997</v>
      </c>
      <c r="J155" s="10">
        <v>1806.34</v>
      </c>
      <c r="K155" s="11">
        <v>90.055000000000007</v>
      </c>
      <c r="L155" s="11">
        <v>2.8382999999999998</v>
      </c>
      <c r="M155" s="10">
        <v>120.66226166835172</v>
      </c>
      <c r="N155" s="10">
        <v>188.92519355546091</v>
      </c>
      <c r="O155" s="14">
        <v>0.4</v>
      </c>
      <c r="P155" s="10">
        <v>142.6159283870968</v>
      </c>
    </row>
    <row r="156" spans="1:16" ht="18">
      <c r="A156" s="2">
        <v>41182</v>
      </c>
      <c r="B156" s="3">
        <v>3734.0070387000001</v>
      </c>
      <c r="C156" s="3">
        <v>1377.2007988199998</v>
      </c>
      <c r="D156" s="6">
        <v>0.81834939547150465</v>
      </c>
      <c r="E156" s="6">
        <v>0.81292129684775938</v>
      </c>
      <c r="F156" s="6">
        <f t="shared" si="2"/>
        <v>0.83865354640758805</v>
      </c>
      <c r="G156" s="3">
        <v>15240.375880000005</v>
      </c>
      <c r="H156" s="3">
        <v>12781.395280346669</v>
      </c>
      <c r="I156" s="3">
        <v>4910.4522915300004</v>
      </c>
      <c r="J156" s="10">
        <v>1803.18</v>
      </c>
      <c r="K156" s="11">
        <v>87.389999999999986</v>
      </c>
      <c r="L156" s="11">
        <v>2.8414999999999999</v>
      </c>
      <c r="M156" s="10">
        <v>111.41890242531235</v>
      </c>
      <c r="N156" s="10">
        <v>208.86083395187504</v>
      </c>
      <c r="O156" s="14">
        <v>0.4</v>
      </c>
      <c r="P156" s="10">
        <v>185.66129833333332</v>
      </c>
    </row>
    <row r="157" spans="1:16" ht="18">
      <c r="A157" s="2">
        <v>41213</v>
      </c>
      <c r="B157" s="3">
        <v>3713.0076326299995</v>
      </c>
      <c r="C157" s="3">
        <v>1381.9647346899999</v>
      </c>
      <c r="D157" s="6">
        <v>0.81918082684859761</v>
      </c>
      <c r="E157" s="6">
        <v>0.76239362323336102</v>
      </c>
      <c r="F157" s="6">
        <f t="shared" si="2"/>
        <v>0.80600361854765823</v>
      </c>
      <c r="G157" s="3">
        <v>15240.375880000005</v>
      </c>
      <c r="H157" s="3">
        <v>12283.798107306455</v>
      </c>
      <c r="I157" s="3">
        <v>4961.9682605800008</v>
      </c>
      <c r="J157" s="10">
        <v>1804.97</v>
      </c>
      <c r="K157" s="11">
        <v>82.324999999999989</v>
      </c>
      <c r="L157" s="11">
        <v>3.3174000000000001</v>
      </c>
      <c r="M157" s="10">
        <v>131.64698899418977</v>
      </c>
      <c r="N157" s="10">
        <v>270.27362877208259</v>
      </c>
      <c r="O157" s="14">
        <v>0.3</v>
      </c>
      <c r="P157" s="10">
        <v>200.44956312903227</v>
      </c>
    </row>
    <row r="158" spans="1:16" ht="18">
      <c r="A158" s="2">
        <v>41243</v>
      </c>
      <c r="B158" s="3">
        <v>3701.2321783399993</v>
      </c>
      <c r="C158" s="3">
        <v>1332.1830571899995</v>
      </c>
      <c r="D158" s="6">
        <v>0.84148077050408643</v>
      </c>
      <c r="E158" s="6">
        <v>0.79113643467934369</v>
      </c>
      <c r="F158" s="6">
        <f t="shared" si="2"/>
        <v>0.81008206877373512</v>
      </c>
      <c r="G158" s="3">
        <v>15239.974195600009</v>
      </c>
      <c r="H158" s="3">
        <v>12345.629824429994</v>
      </c>
      <c r="I158" s="3">
        <v>4875.1306262400003</v>
      </c>
      <c r="J158" s="10">
        <v>1820.29</v>
      </c>
      <c r="K158" s="11">
        <v>85.814999999999998</v>
      </c>
      <c r="L158" s="11">
        <v>3.5379999999999998</v>
      </c>
      <c r="M158" s="10">
        <v>130.47883795921152</v>
      </c>
      <c r="N158" s="10">
        <v>201.43917867378161</v>
      </c>
      <c r="O158" s="14">
        <v>0.1</v>
      </c>
      <c r="P158" s="10">
        <v>169.39157383333341</v>
      </c>
    </row>
    <row r="159" spans="1:16" ht="18">
      <c r="A159" s="2">
        <v>41274</v>
      </c>
      <c r="B159" s="3">
        <v>3586.8779820600002</v>
      </c>
      <c r="C159" s="3">
        <v>1469.2006720099998</v>
      </c>
      <c r="D159" s="6">
        <v>0.86889209117707622</v>
      </c>
      <c r="E159" s="6">
        <v>0.84890524270300549</v>
      </c>
      <c r="F159" s="6">
        <f t="shared" si="2"/>
        <v>0.76610183984057834</v>
      </c>
      <c r="G159" s="3">
        <v>15237.641839741929</v>
      </c>
      <c r="H159" s="3">
        <v>11673.585448258067</v>
      </c>
      <c r="I159" s="3">
        <v>4925.5351490599996</v>
      </c>
      <c r="J159" s="10">
        <v>1793.94</v>
      </c>
      <c r="K159" s="11">
        <v>90.86</v>
      </c>
      <c r="L159" s="11">
        <v>3.3395000000000001</v>
      </c>
      <c r="M159" s="10">
        <v>135.91365553355118</v>
      </c>
      <c r="N159" s="10">
        <v>206.09259524662949</v>
      </c>
      <c r="O159" s="14">
        <v>-0.1</v>
      </c>
      <c r="P159" s="10">
        <v>182.67310312903223</v>
      </c>
    </row>
    <row r="160" spans="1:16" ht="18">
      <c r="A160" s="2">
        <v>41305</v>
      </c>
      <c r="B160" s="3">
        <v>3456.9120103499999</v>
      </c>
      <c r="C160" s="3">
        <v>1601.6418870799998</v>
      </c>
      <c r="D160" s="6">
        <v>0.8498392778665963</v>
      </c>
      <c r="E160" s="6">
        <v>0.90447252846564596</v>
      </c>
      <c r="F160" s="6">
        <f t="shared" si="2"/>
        <v>0.66932384494522268</v>
      </c>
      <c r="G160" s="3">
        <v>15222.760957903225</v>
      </c>
      <c r="H160" s="3">
        <v>10188.956895025807</v>
      </c>
      <c r="I160" s="3">
        <v>4916.8306205099998</v>
      </c>
      <c r="J160" s="10">
        <v>1770.01</v>
      </c>
      <c r="K160" s="11">
        <v>89.449999999999989</v>
      </c>
      <c r="L160" s="11">
        <v>3.3279999999999998</v>
      </c>
      <c r="M160" s="10">
        <v>125.9164689049675</v>
      </c>
      <c r="N160" s="10">
        <v>262.42596340783223</v>
      </c>
      <c r="O160" s="14">
        <v>-0.3</v>
      </c>
      <c r="P160" s="10">
        <v>186.02139154838713</v>
      </c>
    </row>
    <row r="161" spans="1:16" ht="18">
      <c r="A161" s="2">
        <v>41333</v>
      </c>
      <c r="B161" s="3">
        <v>3173.7024273799993</v>
      </c>
      <c r="C161" s="3">
        <v>1568.2077988799997</v>
      </c>
      <c r="D161" s="6">
        <v>0.81668696595090418</v>
      </c>
      <c r="E161" s="6">
        <v>0.93660090614633007</v>
      </c>
      <c r="F161" s="6">
        <f t="shared" si="2"/>
        <v>0.5632460388928443</v>
      </c>
      <c r="G161" s="3">
        <v>15174.371537000001</v>
      </c>
      <c r="H161" s="3">
        <v>8546.9046609035722</v>
      </c>
      <c r="I161" s="3">
        <v>4509.0648311000004</v>
      </c>
      <c r="J161" s="10">
        <v>1791.48</v>
      </c>
      <c r="K161" s="11">
        <v>90.034999999999997</v>
      </c>
      <c r="L161" s="11">
        <v>3.3292000000000002</v>
      </c>
      <c r="M161" s="10">
        <v>116.17486911965523</v>
      </c>
      <c r="N161" s="10">
        <v>240.17359880307154</v>
      </c>
      <c r="O161" s="14">
        <v>-0.3</v>
      </c>
      <c r="P161" s="10">
        <v>183.06665996428569</v>
      </c>
    </row>
    <row r="162" spans="1:16" ht="18">
      <c r="A162" s="2">
        <v>41364</v>
      </c>
      <c r="B162" s="3">
        <v>3812.0549518399998</v>
      </c>
      <c r="C162" s="3">
        <v>1340.3785787700003</v>
      </c>
      <c r="D162" s="6">
        <v>0.80057907283162189</v>
      </c>
      <c r="E162" s="6">
        <v>0.89735293698600693</v>
      </c>
      <c r="F162" s="6">
        <f t="shared" si="2"/>
        <v>0.482382098056514</v>
      </c>
      <c r="G162" s="3">
        <v>15170.912232741937</v>
      </c>
      <c r="H162" s="3">
        <v>7318.1764722612888</v>
      </c>
      <c r="I162" s="3">
        <v>4921.0235561099998</v>
      </c>
      <c r="J162" s="10">
        <v>1809.89</v>
      </c>
      <c r="K162" s="11">
        <v>86.875</v>
      </c>
      <c r="L162" s="11">
        <v>3.8069000000000002</v>
      </c>
      <c r="M162" s="10">
        <v>108.1508954124315</v>
      </c>
      <c r="N162" s="10">
        <v>212.49477108658473</v>
      </c>
      <c r="O162" s="14">
        <v>-0.2</v>
      </c>
      <c r="P162" s="10">
        <v>140.45302448387096</v>
      </c>
    </row>
    <row r="163" spans="1:16" ht="18">
      <c r="A163" s="2">
        <v>41394</v>
      </c>
      <c r="B163" s="3">
        <v>3564.6093625300009</v>
      </c>
      <c r="C163" s="3">
        <v>1637.32774885</v>
      </c>
      <c r="D163" s="6">
        <v>0.80370417379851034</v>
      </c>
      <c r="E163" s="6">
        <v>0.9125972833606224</v>
      </c>
      <c r="F163" s="6">
        <f t="shared" si="2"/>
        <v>0.39673393069651236</v>
      </c>
      <c r="G163" s="3">
        <v>15169.264945000001</v>
      </c>
      <c r="H163" s="3">
        <v>6018.1621074066643</v>
      </c>
      <c r="I163" s="3">
        <v>5004.9690470400001</v>
      </c>
      <c r="J163" s="10">
        <v>1829.96</v>
      </c>
      <c r="K163" s="11">
        <v>84.89</v>
      </c>
      <c r="L163" s="11">
        <v>4.1669</v>
      </c>
      <c r="M163" s="10">
        <v>105.76265286492016</v>
      </c>
      <c r="N163" s="10">
        <v>245.9215966287986</v>
      </c>
      <c r="O163" s="14">
        <v>-0.2</v>
      </c>
      <c r="P163" s="10">
        <v>233.02423856666667</v>
      </c>
    </row>
    <row r="164" spans="1:16" ht="18">
      <c r="A164" s="2">
        <v>41425</v>
      </c>
      <c r="B164" s="3">
        <v>4040.2736498400004</v>
      </c>
      <c r="C164" s="3">
        <v>1322.2126843000003</v>
      </c>
      <c r="D164" s="6">
        <v>0.83525624326364289</v>
      </c>
      <c r="E164" s="6">
        <v>0.92836839817053984</v>
      </c>
      <c r="F164" s="6">
        <f t="shared" si="2"/>
        <v>0.43153603663121948</v>
      </c>
      <c r="G164" s="3">
        <v>15169.264945000001</v>
      </c>
      <c r="H164" s="3">
        <v>6546.0844729741939</v>
      </c>
      <c r="I164" s="3">
        <v>5049.5426216400001</v>
      </c>
      <c r="J164" s="10">
        <v>1850.12</v>
      </c>
      <c r="K164" s="11">
        <v>84.75</v>
      </c>
      <c r="L164" s="11">
        <v>4.0403000000000002</v>
      </c>
      <c r="M164" s="10">
        <v>95.289315019012491</v>
      </c>
      <c r="N164" s="10">
        <v>312.32280400869956</v>
      </c>
      <c r="O164" s="14">
        <v>-0.3</v>
      </c>
      <c r="P164" s="10">
        <v>142.89533145161295</v>
      </c>
    </row>
    <row r="165" spans="1:16" ht="18">
      <c r="A165" s="2">
        <v>41455</v>
      </c>
      <c r="B165" s="3">
        <v>3748.3460990599992</v>
      </c>
      <c r="C165" s="3">
        <v>1265.9573370000003</v>
      </c>
      <c r="D165" s="6">
        <v>0.81994263474478701</v>
      </c>
      <c r="E165" s="6">
        <v>0.90463790081842321</v>
      </c>
      <c r="F165" s="6">
        <f t="shared" si="2"/>
        <v>0.50693288863927444</v>
      </c>
      <c r="G165" s="3">
        <v>15169.264945000001</v>
      </c>
      <c r="H165" s="3">
        <v>7689.7992971033345</v>
      </c>
      <c r="I165" s="3">
        <v>4853.0329355400008</v>
      </c>
      <c r="J165" s="10">
        <v>1909.5</v>
      </c>
      <c r="K165" s="11">
        <v>80.021872898715003</v>
      </c>
      <c r="L165" s="11">
        <v>3.8254000000000001</v>
      </c>
      <c r="M165" s="10">
        <v>112.08176212019205</v>
      </c>
      <c r="N165" s="10">
        <v>302.06895310787297</v>
      </c>
      <c r="O165" s="14">
        <v>-0.3</v>
      </c>
      <c r="P165" s="10">
        <v>145.59163399999997</v>
      </c>
    </row>
    <row r="166" spans="1:16" ht="18">
      <c r="A166" s="2">
        <v>41486</v>
      </c>
      <c r="B166" s="3">
        <v>3577.7689413399989</v>
      </c>
      <c r="C166" s="3">
        <v>1702.6825285999998</v>
      </c>
      <c r="D166" s="6">
        <v>0.85562710089373839</v>
      </c>
      <c r="E166" s="6">
        <v>0.87658751094351051</v>
      </c>
      <c r="F166" s="6">
        <f t="shared" si="2"/>
        <v>0.53742077836397351</v>
      </c>
      <c r="G166" s="3">
        <v>15114.708734774193</v>
      </c>
      <c r="H166" s="3">
        <v>8122.9585329870952</v>
      </c>
      <c r="I166" s="3">
        <v>5107.3017165600004</v>
      </c>
      <c r="J166" s="10">
        <v>1900.59</v>
      </c>
      <c r="K166" s="11">
        <v>74.951248879320005</v>
      </c>
      <c r="L166" s="11">
        <v>3.6227</v>
      </c>
      <c r="M166" s="10">
        <v>105.43548212222962</v>
      </c>
      <c r="N166" s="10">
        <v>285.10698800749395</v>
      </c>
      <c r="O166" s="14">
        <v>-0.4</v>
      </c>
      <c r="P166" s="10">
        <v>235.85952341935484</v>
      </c>
    </row>
    <row r="167" spans="1:16" ht="18">
      <c r="A167" s="2">
        <v>41517</v>
      </c>
      <c r="B167" s="3">
        <v>3796.1206224899993</v>
      </c>
      <c r="C167" s="3">
        <v>1411.21913025</v>
      </c>
      <c r="D167" s="6">
        <v>0.84082088353674711</v>
      </c>
      <c r="E167" s="6">
        <v>0.89196048598425925</v>
      </c>
      <c r="F167" s="6">
        <f t="shared" si="2"/>
        <v>0.59974505677952183</v>
      </c>
      <c r="G167" s="3">
        <v>15108.790330999998</v>
      </c>
      <c r="H167" s="3">
        <v>9061.4223149354839</v>
      </c>
      <c r="I167" s="3">
        <v>5093.5906828699999</v>
      </c>
      <c r="J167" s="10">
        <v>1903.66</v>
      </c>
      <c r="K167" s="11">
        <v>74.936000000000007</v>
      </c>
      <c r="L167" s="11">
        <v>3.4251</v>
      </c>
      <c r="M167" s="10">
        <v>106.13013586405101</v>
      </c>
      <c r="N167" s="10">
        <v>307.50513494354954</v>
      </c>
      <c r="O167" s="14">
        <v>-0.3</v>
      </c>
      <c r="P167" s="10">
        <v>153.39593980645162</v>
      </c>
    </row>
    <row r="168" spans="1:16" ht="18">
      <c r="A168" s="2">
        <v>41547</v>
      </c>
      <c r="B168" s="3">
        <v>3927.0397125099998</v>
      </c>
      <c r="C168" s="3">
        <v>1169.3557511500001</v>
      </c>
      <c r="D168" s="6">
        <v>0.82632355648819444</v>
      </c>
      <c r="E168" s="6">
        <v>0.89981682750531944</v>
      </c>
      <c r="F168" s="6">
        <f t="shared" si="2"/>
        <v>0.63652432062253583</v>
      </c>
      <c r="G168" s="3">
        <v>15111.759830866669</v>
      </c>
      <c r="H168" s="3">
        <v>9619.0026597533342</v>
      </c>
      <c r="I168" s="3">
        <v>4981.9247003500004</v>
      </c>
      <c r="J168" s="10">
        <v>1919.4</v>
      </c>
      <c r="K168" s="11">
        <v>75.35499999999999</v>
      </c>
      <c r="L168" s="11">
        <v>3.6154000000000002</v>
      </c>
      <c r="M168" s="10">
        <v>131.09209696472331</v>
      </c>
      <c r="N168" s="10">
        <v>289.77500574231749</v>
      </c>
      <c r="O168" s="14">
        <v>-0.2</v>
      </c>
      <c r="P168" s="10">
        <v>146.34381836666668</v>
      </c>
    </row>
    <row r="169" spans="1:16" ht="18">
      <c r="A169" s="2">
        <v>41578</v>
      </c>
      <c r="B169" s="3">
        <v>3805.0774199000007</v>
      </c>
      <c r="C169" s="3">
        <v>1453.3908393599995</v>
      </c>
      <c r="D169" s="6">
        <v>0.81848129030006322</v>
      </c>
      <c r="E169" s="6">
        <v>0.81982878972734197</v>
      </c>
      <c r="F169" s="6">
        <f t="shared" si="2"/>
        <v>0.63861031125133483</v>
      </c>
      <c r="G169" s="3">
        <v>15116.888967000004</v>
      </c>
      <c r="H169" s="3">
        <v>9653.8011683677414</v>
      </c>
      <c r="I169" s="3">
        <v>5141.8371190400003</v>
      </c>
      <c r="J169" s="10">
        <v>1885.91</v>
      </c>
      <c r="K169" s="11">
        <v>80.03</v>
      </c>
      <c r="L169" s="11">
        <v>3.6739000000000002</v>
      </c>
      <c r="M169" s="10">
        <v>118.24294379257302</v>
      </c>
      <c r="N169" s="10">
        <v>297.16136211056903</v>
      </c>
      <c r="O169" s="14">
        <v>-0.1</v>
      </c>
      <c r="P169" s="10">
        <v>215.58079148387094</v>
      </c>
    </row>
    <row r="170" spans="1:16" ht="18">
      <c r="A170" s="2">
        <v>41608</v>
      </c>
      <c r="B170" s="3">
        <v>3580.3563370900001</v>
      </c>
      <c r="C170" s="3">
        <v>1547.6360984500004</v>
      </c>
      <c r="D170" s="6">
        <v>0.85127585959269358</v>
      </c>
      <c r="E170" s="6">
        <v>0.84204952518409293</v>
      </c>
      <c r="F170" s="6">
        <f t="shared" si="2"/>
        <v>0.66750411773450868</v>
      </c>
      <c r="G170" s="3">
        <v>15116.248195799999</v>
      </c>
      <c r="H170" s="3">
        <v>10090.157915393336</v>
      </c>
      <c r="I170" s="3">
        <v>4979.31355042</v>
      </c>
      <c r="J170" s="10">
        <v>1922.14</v>
      </c>
      <c r="K170" s="11">
        <v>83.033999999999992</v>
      </c>
      <c r="L170" s="11">
        <v>3.6173999999999999</v>
      </c>
      <c r="M170" s="10">
        <v>119.19552819909214</v>
      </c>
      <c r="N170" s="10">
        <v>254.18639364975991</v>
      </c>
      <c r="O170" s="14">
        <v>-0.1</v>
      </c>
      <c r="P170" s="10">
        <v>214.02530883333341</v>
      </c>
    </row>
    <row r="171" spans="1:16" ht="18">
      <c r="A171" s="2">
        <v>41639</v>
      </c>
      <c r="B171" s="3">
        <v>3880.5285390999993</v>
      </c>
      <c r="C171" s="3">
        <v>1407.17412584</v>
      </c>
      <c r="D171" s="6">
        <v>0.89804969576569948</v>
      </c>
      <c r="E171" s="6">
        <v>0.89802911130698948</v>
      </c>
      <c r="F171" s="6">
        <f t="shared" si="2"/>
        <v>0.7060621806902615</v>
      </c>
      <c r="G171" s="3">
        <v>15111.342504096767</v>
      </c>
      <c r="H171" s="3">
        <v>10669.5474416</v>
      </c>
      <c r="I171" s="3">
        <v>5071.9819447600003</v>
      </c>
      <c r="J171" s="10">
        <v>1934.08</v>
      </c>
      <c r="K171" s="11">
        <v>84.476249999999993</v>
      </c>
      <c r="L171" s="11">
        <v>4.2366000000000001</v>
      </c>
      <c r="M171" s="10">
        <v>113.47938631145183</v>
      </c>
      <c r="N171" s="10">
        <v>263.54596703212979</v>
      </c>
      <c r="O171" s="14">
        <v>-0.2</v>
      </c>
      <c r="P171" s="10">
        <v>165.91140277419353</v>
      </c>
    </row>
    <row r="172" spans="1:16" ht="18">
      <c r="A172" s="2">
        <v>41670</v>
      </c>
      <c r="B172" s="3">
        <v>3696.8244270599998</v>
      </c>
      <c r="C172" s="3">
        <v>1577.4655845600005</v>
      </c>
      <c r="D172" s="6">
        <v>0.86830405010480538</v>
      </c>
      <c r="E172" s="6">
        <v>0.93763414026652547</v>
      </c>
      <c r="F172" s="6">
        <f t="shared" si="2"/>
        <v>0.66170776930706154</v>
      </c>
      <c r="G172" s="3">
        <v>15109.510385999993</v>
      </c>
      <c r="H172" s="3">
        <v>9998.0804128419331</v>
      </c>
      <c r="I172" s="3">
        <v>5055.5714404300006</v>
      </c>
      <c r="J172" s="10">
        <v>1960.41</v>
      </c>
      <c r="K172" s="11">
        <v>82.254999999999995</v>
      </c>
      <c r="L172" s="11">
        <v>4.7008000000000001</v>
      </c>
      <c r="M172" s="10">
        <v>116.73395473626849</v>
      </c>
      <c r="N172" s="10">
        <v>265.52921770587608</v>
      </c>
      <c r="O172" s="14">
        <v>-0.3</v>
      </c>
      <c r="P172" s="10">
        <v>162.00832138709683</v>
      </c>
    </row>
    <row r="173" spans="1:16" ht="18">
      <c r="A173" s="2">
        <v>41698</v>
      </c>
      <c r="B173" s="3">
        <v>3407.32929324</v>
      </c>
      <c r="C173" s="3">
        <v>1538.7616294899997</v>
      </c>
      <c r="D173" s="6">
        <v>0.82340984565536435</v>
      </c>
      <c r="E173" s="6">
        <v>0.88574547774956114</v>
      </c>
      <c r="F173" s="6">
        <f t="shared" si="2"/>
        <v>0.56190221464178369</v>
      </c>
      <c r="G173" s="3">
        <v>15109.510385999994</v>
      </c>
      <c r="H173" s="3">
        <v>8490.0673480464284</v>
      </c>
      <c r="I173" s="3">
        <v>4798.8081374600006</v>
      </c>
      <c r="J173" s="10">
        <v>2040.51</v>
      </c>
      <c r="K173" s="11">
        <v>76.944999999999993</v>
      </c>
      <c r="L173" s="11">
        <v>5.9733000000000001</v>
      </c>
      <c r="M173" s="10">
        <v>116.49134404992084</v>
      </c>
      <c r="N173" s="10">
        <v>260.24325927848406</v>
      </c>
      <c r="O173" s="14">
        <v>-0.3</v>
      </c>
      <c r="P173" s="10">
        <v>189.64157196428573</v>
      </c>
    </row>
    <row r="174" spans="1:16" ht="18">
      <c r="A174" s="2">
        <v>41729</v>
      </c>
      <c r="B174" s="3">
        <v>3982.7386638199991</v>
      </c>
      <c r="C174" s="3">
        <v>1362.6202478</v>
      </c>
      <c r="D174" s="6">
        <v>0.78671190912632039</v>
      </c>
      <c r="E174" s="6">
        <v>0.89756392447254496</v>
      </c>
      <c r="F174" s="6">
        <f t="shared" si="2"/>
        <v>0.51816554815257054</v>
      </c>
      <c r="G174" s="3">
        <v>15101.767152451624</v>
      </c>
      <c r="H174" s="3">
        <v>7825.2154546225802</v>
      </c>
      <c r="I174" s="3">
        <v>5213.0298399099993</v>
      </c>
      <c r="J174" s="10">
        <v>2022.19</v>
      </c>
      <c r="K174" s="11">
        <v>73.97</v>
      </c>
      <c r="L174" s="11">
        <v>4.8783000000000003</v>
      </c>
      <c r="M174" s="10">
        <v>116.93945297129176</v>
      </c>
      <c r="N174" s="10">
        <v>261.24578913226094</v>
      </c>
      <c r="O174" s="14">
        <v>-0.1</v>
      </c>
      <c r="P174" s="10">
        <v>154.2555309032258</v>
      </c>
    </row>
    <row r="175" spans="1:16" ht="18">
      <c r="A175" s="2">
        <v>41759</v>
      </c>
      <c r="B175" s="3">
        <v>3423.18579168</v>
      </c>
      <c r="C175" s="3">
        <v>1749.2619404500001</v>
      </c>
      <c r="D175" s="6">
        <v>0.77960896107862721</v>
      </c>
      <c r="E175" s="6">
        <v>0.87140177072888803</v>
      </c>
      <c r="F175" s="6">
        <f t="shared" si="2"/>
        <v>0.44208674571213241</v>
      </c>
      <c r="G175" s="3">
        <v>15097.50837400001</v>
      </c>
      <c r="H175" s="3">
        <v>6674.4083454233323</v>
      </c>
      <c r="I175" s="3">
        <v>5071.6809120299995</v>
      </c>
      <c r="J175" s="10">
        <v>1939.27</v>
      </c>
      <c r="K175" s="11">
        <v>73.94</v>
      </c>
      <c r="L175" s="11">
        <v>4.6338999999999997</v>
      </c>
      <c r="M175" s="10">
        <v>122.60668710603778</v>
      </c>
      <c r="N175" s="10">
        <v>279.59100978887579</v>
      </c>
      <c r="O175" s="14">
        <v>0.2</v>
      </c>
      <c r="P175" s="10">
        <v>376.40574769999989</v>
      </c>
    </row>
    <row r="176" spans="1:16" ht="18">
      <c r="A176" s="2">
        <v>41790</v>
      </c>
      <c r="B176" s="3">
        <v>3440.1864119099996</v>
      </c>
      <c r="C176" s="3">
        <v>1950.3833854099998</v>
      </c>
      <c r="D176" s="6">
        <v>0.79693085180834311</v>
      </c>
      <c r="E176" s="6">
        <v>0.82574918361723826</v>
      </c>
      <c r="F176" s="6">
        <f t="shared" si="2"/>
        <v>0.4766212596834139</v>
      </c>
      <c r="G176" s="3">
        <v>15097.508374000012</v>
      </c>
      <c r="H176" s="3">
        <v>7195.7934592967758</v>
      </c>
      <c r="I176" s="3">
        <v>5305.6396648200007</v>
      </c>
      <c r="J176" s="10">
        <v>1915.46</v>
      </c>
      <c r="K176" s="11">
        <v>74.734999999999999</v>
      </c>
      <c r="L176" s="11">
        <v>4.5625</v>
      </c>
      <c r="M176" s="10">
        <v>126.24368419853873</v>
      </c>
      <c r="N176" s="10">
        <v>240.03127645783727</v>
      </c>
      <c r="O176" s="14">
        <v>0.3</v>
      </c>
      <c r="P176" s="10">
        <v>387.09782909677421</v>
      </c>
    </row>
    <row r="177" spans="1:16" ht="18">
      <c r="A177" s="2">
        <v>41820</v>
      </c>
      <c r="B177" s="3">
        <v>3326.9619184499993</v>
      </c>
      <c r="C177" s="3">
        <v>1850.665677</v>
      </c>
      <c r="D177" s="6">
        <v>0.79631730524155486</v>
      </c>
      <c r="E177" s="6">
        <v>0.87896507917485323</v>
      </c>
      <c r="F177" s="6">
        <f t="shared" si="2"/>
        <v>0.5744733657438057</v>
      </c>
      <c r="G177" s="3">
        <v>15132.1182388</v>
      </c>
      <c r="H177" s="3">
        <v>8692.998895476665</v>
      </c>
      <c r="I177" s="3">
        <v>5115.7356086499994</v>
      </c>
      <c r="J177" s="10">
        <v>1888.1</v>
      </c>
      <c r="K177" s="11">
        <v>72.784999999999997</v>
      </c>
      <c r="L177" s="11">
        <v>4.5692000000000004</v>
      </c>
      <c r="M177" s="10">
        <v>125.75620660154267</v>
      </c>
      <c r="N177" s="10">
        <v>236.40167704796693</v>
      </c>
      <c r="O177" s="14">
        <v>0.2</v>
      </c>
      <c r="P177" s="10">
        <v>343.23990629999997</v>
      </c>
    </row>
    <row r="178" spans="1:16" ht="18">
      <c r="A178" s="2">
        <v>41851</v>
      </c>
      <c r="B178" s="3">
        <v>3887.4820726999983</v>
      </c>
      <c r="C178" s="3">
        <v>1577.6706275899996</v>
      </c>
      <c r="D178" s="6">
        <v>0.78352076135379667</v>
      </c>
      <c r="E178" s="6">
        <v>0.8369658325944207</v>
      </c>
      <c r="F178" s="6">
        <f t="shared" si="2"/>
        <v>0.70886825418215338</v>
      </c>
      <c r="G178" s="3">
        <v>15125.009674387102</v>
      </c>
      <c r="H178" s="3">
        <v>10721.639202370965</v>
      </c>
      <c r="I178" s="3">
        <v>5391.4762299499998</v>
      </c>
      <c r="J178" s="10">
        <v>1858.4</v>
      </c>
      <c r="K178" s="11">
        <v>70.094999999999999</v>
      </c>
      <c r="L178" s="11">
        <v>4.0099</v>
      </c>
      <c r="M178" s="10">
        <v>128.09730929859481</v>
      </c>
      <c r="N178" s="10">
        <v>211.53901306644534</v>
      </c>
      <c r="O178" s="14">
        <v>0.1</v>
      </c>
      <c r="P178" s="10">
        <v>190.18883164516129</v>
      </c>
    </row>
    <row r="179" spans="1:16" ht="18">
      <c r="A179" s="2">
        <v>41882</v>
      </c>
      <c r="B179" s="3">
        <v>3843.5054417700003</v>
      </c>
      <c r="C179" s="3">
        <v>1520.4696415799999</v>
      </c>
      <c r="D179" s="6">
        <v>0.79748999065128279</v>
      </c>
      <c r="E179" s="6">
        <v>0.77668078684040731</v>
      </c>
      <c r="F179" s="6">
        <f t="shared" si="2"/>
        <v>0.74933903715223327</v>
      </c>
      <c r="G179" s="3">
        <v>15110.555371483862</v>
      </c>
      <c r="H179" s="3">
        <v>11322.929012903223</v>
      </c>
      <c r="I179" s="3">
        <v>5295.6961210600002</v>
      </c>
      <c r="J179" s="10">
        <v>1899.07</v>
      </c>
      <c r="K179" s="11">
        <v>70.064999999999998</v>
      </c>
      <c r="L179" s="11">
        <v>3.8839999999999999</v>
      </c>
      <c r="M179" s="10">
        <v>125.02463594016999</v>
      </c>
      <c r="N179" s="10">
        <v>172.35172504236488</v>
      </c>
      <c r="O179" s="14">
        <v>0.1</v>
      </c>
      <c r="P179" s="10">
        <v>204.85612312903226</v>
      </c>
    </row>
    <row r="180" spans="1:16" ht="18">
      <c r="A180" s="2">
        <v>41912</v>
      </c>
      <c r="B180" s="3">
        <v>3944.1381074000001</v>
      </c>
      <c r="C180" s="3">
        <v>1438.7844583400004</v>
      </c>
      <c r="D180" s="6">
        <v>0.83378125275303483</v>
      </c>
      <c r="E180" s="6">
        <v>0.79723993170177854</v>
      </c>
      <c r="F180" s="6">
        <f t="shared" si="2"/>
        <v>0.74695770982463805</v>
      </c>
      <c r="G180" s="3">
        <v>15105.200309999989</v>
      </c>
      <c r="H180" s="3">
        <v>11282.945830000004</v>
      </c>
      <c r="I180" s="3">
        <v>5229.9925813799991</v>
      </c>
      <c r="J180" s="10">
        <v>1971.34</v>
      </c>
      <c r="K180" s="11">
        <v>66.900000000000006</v>
      </c>
      <c r="L180" s="11">
        <v>3.9169999999999998</v>
      </c>
      <c r="M180" s="10">
        <v>117.45277306360668</v>
      </c>
      <c r="N180" s="10">
        <v>218.29232505885957</v>
      </c>
      <c r="O180" s="14">
        <v>0.3</v>
      </c>
      <c r="P180" s="10">
        <v>179.71385603333334</v>
      </c>
    </row>
    <row r="181" spans="1:16" ht="18">
      <c r="A181" s="2">
        <v>41943</v>
      </c>
      <c r="B181" s="3">
        <v>3856.5643688200003</v>
      </c>
      <c r="C181" s="3">
        <v>1614.7917293400008</v>
      </c>
      <c r="D181" s="6">
        <v>0.82511809912685052</v>
      </c>
      <c r="E181" s="6">
        <v>0.78748025085193163</v>
      </c>
      <c r="F181" s="6">
        <f t="shared" si="2"/>
        <v>0.75488352023522232</v>
      </c>
      <c r="G181" s="3">
        <v>15105.200309999989</v>
      </c>
      <c r="H181" s="3">
        <v>11402.666783870964</v>
      </c>
      <c r="I181" s="3">
        <v>5349.7438906599991</v>
      </c>
      <c r="J181" s="10">
        <v>2047.03</v>
      </c>
      <c r="K181" s="11">
        <v>64.724999999999994</v>
      </c>
      <c r="L181" s="11">
        <v>3.7719</v>
      </c>
      <c r="M181" s="10">
        <v>122.71197999634407</v>
      </c>
      <c r="N181" s="10">
        <v>178.41674783560447</v>
      </c>
      <c r="O181" s="14">
        <v>0.5</v>
      </c>
      <c r="P181" s="10">
        <v>211.19667935483872</v>
      </c>
    </row>
    <row r="182" spans="1:16" ht="18">
      <c r="A182" s="2">
        <v>41973</v>
      </c>
      <c r="B182" s="3">
        <v>3974.4138273600001</v>
      </c>
      <c r="C182" s="3">
        <v>1370.7966497099999</v>
      </c>
      <c r="D182" s="6">
        <v>0.81850604678694761</v>
      </c>
      <c r="E182" s="6">
        <v>0.80498306647152895</v>
      </c>
      <c r="F182" s="6">
        <f t="shared" si="2"/>
        <v>0.79397925697308025</v>
      </c>
      <c r="G182" s="3">
        <v>15105.200309999989</v>
      </c>
      <c r="H182" s="3">
        <v>11993.215718563333</v>
      </c>
      <c r="I182" s="3">
        <v>5143.0430174000003</v>
      </c>
      <c r="J182" s="10">
        <v>2127.25</v>
      </c>
      <c r="K182" s="11">
        <v>64.10499999999999</v>
      </c>
      <c r="L182" s="11">
        <v>4.1002999999999998</v>
      </c>
      <c r="M182" s="10">
        <v>123.25452921716013</v>
      </c>
      <c r="N182" s="10">
        <v>194.85274604686268</v>
      </c>
      <c r="O182" s="14">
        <v>0.7</v>
      </c>
      <c r="P182" s="10">
        <v>168.42917626666667</v>
      </c>
    </row>
    <row r="183" spans="1:16" ht="18">
      <c r="A183" s="2">
        <v>42004</v>
      </c>
      <c r="B183" s="3">
        <v>3958.6330735300012</v>
      </c>
      <c r="C183" s="3">
        <v>1522.2828412200001</v>
      </c>
      <c r="D183" s="6">
        <v>0.84233089627997115</v>
      </c>
      <c r="E183" s="6">
        <v>0.88535567614327704</v>
      </c>
      <c r="F183" s="6">
        <f t="shared" si="2"/>
        <v>0.77888755419524169</v>
      </c>
      <c r="G183" s="3">
        <v>16091.620493999988</v>
      </c>
      <c r="H183" s="3">
        <v>12533.562929609678</v>
      </c>
      <c r="I183" s="3">
        <v>5273.9892601499996</v>
      </c>
      <c r="J183" s="10">
        <v>2344.23</v>
      </c>
      <c r="K183" s="11">
        <v>64.289999999999992</v>
      </c>
      <c r="L183" s="11">
        <v>3.4327999999999999</v>
      </c>
      <c r="M183" s="10">
        <v>122.91106073282187</v>
      </c>
      <c r="N183" s="10">
        <v>205.76320336098956</v>
      </c>
      <c r="O183" s="14">
        <v>0.8</v>
      </c>
      <c r="P183" s="10">
        <v>177.03080161290322</v>
      </c>
    </row>
    <row r="184" spans="1:16" ht="18">
      <c r="A184" s="2">
        <v>42035</v>
      </c>
      <c r="B184" s="3">
        <v>3664.4191636299997</v>
      </c>
      <c r="C184" s="3">
        <v>1684.6608467999999</v>
      </c>
      <c r="D184" s="6">
        <v>0.76620704053176492</v>
      </c>
      <c r="E184" s="6">
        <v>0.89256885713188361</v>
      </c>
      <c r="F184" s="6">
        <f t="shared" si="2"/>
        <v>0.70060138959021911</v>
      </c>
      <c r="G184" s="3">
        <v>16091.620493999988</v>
      </c>
      <c r="H184" s="3">
        <v>11273.81167885484</v>
      </c>
      <c r="I184" s="3">
        <v>5209.9345666200006</v>
      </c>
      <c r="J184" s="10">
        <v>2397.69</v>
      </c>
      <c r="K184" s="11">
        <v>60.364999999999995</v>
      </c>
      <c r="L184" s="11">
        <v>2.9742999999999999</v>
      </c>
      <c r="M184" s="10">
        <v>123.3358502477674</v>
      </c>
      <c r="N184" s="10">
        <v>207.77726220835294</v>
      </c>
      <c r="O184" s="14">
        <v>0.7</v>
      </c>
      <c r="P184" s="10">
        <v>189.97215864516124</v>
      </c>
    </row>
    <row r="185" spans="1:16" ht="18">
      <c r="A185" s="2">
        <v>42063</v>
      </c>
      <c r="B185" s="3">
        <v>3804.9837902400004</v>
      </c>
      <c r="C185" s="3">
        <v>1253.2478972400004</v>
      </c>
      <c r="D185" s="6">
        <v>0.76881651037882182</v>
      </c>
      <c r="E185" s="6">
        <v>0.88791922203022777</v>
      </c>
      <c r="F185" s="6">
        <f t="shared" si="2"/>
        <v>0.6151803621954548</v>
      </c>
      <c r="G185" s="3">
        <v>16091.62049399999</v>
      </c>
      <c r="H185" s="3">
        <v>9899.2489238107173</v>
      </c>
      <c r="I185" s="3">
        <v>4954.6132326799998</v>
      </c>
      <c r="J185" s="10">
        <v>2420.38</v>
      </c>
      <c r="K185" s="11">
        <v>66.265000000000001</v>
      </c>
      <c r="L185" s="11">
        <v>2.8477999999999999</v>
      </c>
      <c r="M185" s="10">
        <v>121.92555214838171</v>
      </c>
      <c r="N185" s="10">
        <v>207.82860588583418</v>
      </c>
      <c r="O185" s="14">
        <v>0.6</v>
      </c>
      <c r="P185" s="10">
        <v>168.21416771428571</v>
      </c>
    </row>
    <row r="186" spans="1:16" ht="18">
      <c r="A186" s="2">
        <v>42094</v>
      </c>
      <c r="B186" s="3">
        <v>4024.5227845700001</v>
      </c>
      <c r="C186" s="3">
        <v>1586.2791414000003</v>
      </c>
      <c r="D186" s="6">
        <v>0.76756003994799415</v>
      </c>
      <c r="E186" s="6">
        <v>0.88898984652469104</v>
      </c>
      <c r="F186" s="6">
        <f t="shared" si="2"/>
        <v>0.4954319981559317</v>
      </c>
      <c r="G186" s="3">
        <v>16080.822806774186</v>
      </c>
      <c r="H186" s="3">
        <v>7966.9541751516126</v>
      </c>
      <c r="I186" s="3">
        <v>5408.9815152900001</v>
      </c>
      <c r="J186" s="10">
        <v>2586.58</v>
      </c>
      <c r="K186" s="11">
        <v>62.34</v>
      </c>
      <c r="L186" s="11">
        <v>2.8006000000000002</v>
      </c>
      <c r="M186" s="10">
        <v>126.17434211062542</v>
      </c>
      <c r="N186" s="10">
        <v>206.14610918072933</v>
      </c>
      <c r="O186" s="14">
        <v>0.7</v>
      </c>
      <c r="P186" s="10">
        <v>207.44257864516132</v>
      </c>
    </row>
    <row r="187" spans="1:16" ht="18">
      <c r="A187" s="2">
        <v>42124</v>
      </c>
      <c r="B187" s="3">
        <v>4057.2695124799998</v>
      </c>
      <c r="C187" s="3">
        <v>1216.9106669</v>
      </c>
      <c r="D187" s="6">
        <v>0.79716436962668413</v>
      </c>
      <c r="E187" s="6">
        <v>0.86098659782061049</v>
      </c>
      <c r="F187" s="6">
        <f t="shared" si="2"/>
        <v>0.45651144838049063</v>
      </c>
      <c r="G187" s="3">
        <v>16070.945311266665</v>
      </c>
      <c r="H187" s="3">
        <v>7336.5705208899999</v>
      </c>
      <c r="I187" s="3">
        <v>5176.0914356499998</v>
      </c>
      <c r="J187" s="10">
        <v>2495.36</v>
      </c>
      <c r="K187" s="11">
        <v>57.594999999999999</v>
      </c>
      <c r="L187" s="11">
        <v>2.5796999999999999</v>
      </c>
      <c r="M187" s="10">
        <v>122.80005128343676</v>
      </c>
      <c r="N187" s="10">
        <v>238.98550819129954</v>
      </c>
      <c r="O187" s="14">
        <v>0.8</v>
      </c>
      <c r="P187" s="10">
        <v>163.46925436666663</v>
      </c>
    </row>
    <row r="188" spans="1:16" ht="18">
      <c r="A188" s="2">
        <v>42155</v>
      </c>
      <c r="B188" s="3">
        <v>3920.9364425700001</v>
      </c>
      <c r="C188" s="3">
        <v>1675.9213240300003</v>
      </c>
      <c r="D188" s="6">
        <v>0.77964596091861549</v>
      </c>
      <c r="E188" s="6">
        <v>0.83938409426992744</v>
      </c>
      <c r="F188" s="6">
        <f t="shared" si="2"/>
        <v>0.42822200490504286</v>
      </c>
      <c r="G188" s="3">
        <v>16072.986009999995</v>
      </c>
      <c r="H188" s="3">
        <v>6882.806294012903</v>
      </c>
      <c r="I188" s="3">
        <v>5520.8846339800002</v>
      </c>
      <c r="J188" s="10">
        <v>2439.09</v>
      </c>
      <c r="K188" s="11">
        <v>61.41</v>
      </c>
      <c r="L188" s="11">
        <v>2.8382999999999998</v>
      </c>
      <c r="M188" s="10">
        <v>127.3284840814156</v>
      </c>
      <c r="N188" s="10">
        <v>205.16941224700022</v>
      </c>
      <c r="O188" s="14">
        <v>1</v>
      </c>
      <c r="P188" s="10">
        <v>264.26219745161291</v>
      </c>
    </row>
    <row r="189" spans="1:16" ht="18">
      <c r="A189" s="2">
        <v>42185</v>
      </c>
      <c r="B189" s="3">
        <v>3855.2653245600009</v>
      </c>
      <c r="C189" s="3">
        <v>1505.9746749600001</v>
      </c>
      <c r="D189" s="6">
        <v>0.81393807060441103</v>
      </c>
      <c r="E189" s="6">
        <v>0.79469784681879407</v>
      </c>
      <c r="F189" s="6">
        <f t="shared" si="2"/>
        <v>0.52240068647902393</v>
      </c>
      <c r="G189" s="3">
        <v>16081.985883066665</v>
      </c>
      <c r="H189" s="3">
        <v>8401.240465259998</v>
      </c>
      <c r="I189" s="3">
        <v>5307.1996284400002</v>
      </c>
      <c r="J189" s="10">
        <v>2554.94</v>
      </c>
      <c r="K189" s="11">
        <v>59.835000000000001</v>
      </c>
      <c r="L189" s="11">
        <v>2.7692000000000001</v>
      </c>
      <c r="M189" s="10">
        <v>130.61206128247474</v>
      </c>
      <c r="N189" s="10">
        <v>220.92092141339899</v>
      </c>
      <c r="O189" s="14">
        <v>1.3</v>
      </c>
      <c r="P189" s="10">
        <v>190.12079940000004</v>
      </c>
    </row>
    <row r="190" spans="1:16" ht="18">
      <c r="A190" s="2">
        <v>42216</v>
      </c>
      <c r="B190" s="3">
        <v>4102.2894729</v>
      </c>
      <c r="C190" s="3">
        <v>1517.9494151099996</v>
      </c>
      <c r="D190" s="6">
        <v>0.79117419961169877</v>
      </c>
      <c r="E190" s="6">
        <v>0.82651325241615115</v>
      </c>
      <c r="F190" s="6">
        <f t="shared" si="2"/>
        <v>0.63134363981400532</v>
      </c>
      <c r="G190" s="3">
        <v>16088.049909225812</v>
      </c>
      <c r="H190" s="3">
        <v>10157.087987200002</v>
      </c>
      <c r="I190" s="3">
        <v>5543.2539787699998</v>
      </c>
      <c r="J190" s="10">
        <v>2731.9</v>
      </c>
      <c r="K190" s="11">
        <v>58.9</v>
      </c>
      <c r="L190" s="11">
        <v>2.83</v>
      </c>
      <c r="M190" s="10">
        <v>128.98426017733954</v>
      </c>
      <c r="N190" s="10">
        <v>217.97259145921743</v>
      </c>
      <c r="O190" s="14">
        <v>1.6</v>
      </c>
      <c r="P190" s="10">
        <v>209.6363784516129</v>
      </c>
    </row>
    <row r="191" spans="1:16" ht="18">
      <c r="A191" s="2">
        <v>42247</v>
      </c>
      <c r="B191" s="3">
        <v>4262.1689845699993</v>
      </c>
      <c r="C191" s="3">
        <v>1409.7795559900001</v>
      </c>
      <c r="D191" s="6">
        <v>0.78998066019811708</v>
      </c>
      <c r="E191" s="6">
        <v>0.89236973710754175</v>
      </c>
      <c r="F191" s="6">
        <f t="shared" si="2"/>
        <v>0.68642151840740384</v>
      </c>
      <c r="G191" s="3">
        <v>16088.320590000007</v>
      </c>
      <c r="H191" s="3">
        <v>11043.369448012903</v>
      </c>
      <c r="I191" s="3">
        <v>5557.7513293100001</v>
      </c>
      <c r="J191" s="10">
        <v>3023.29</v>
      </c>
      <c r="K191" s="11">
        <v>57.08</v>
      </c>
      <c r="L191" s="11">
        <v>2.7629999999999999</v>
      </c>
      <c r="M191" s="10">
        <v>116.17326550040848</v>
      </c>
      <c r="N191" s="10">
        <v>231.84272374965158</v>
      </c>
      <c r="O191" s="14">
        <v>1.9</v>
      </c>
      <c r="P191" s="10">
        <v>186.6894251290322</v>
      </c>
    </row>
    <row r="192" spans="1:16" ht="18">
      <c r="A192" s="2">
        <v>42277</v>
      </c>
      <c r="B192" s="3">
        <v>3753.6054492900003</v>
      </c>
      <c r="C192" s="3">
        <v>1927.0080519499998</v>
      </c>
      <c r="D192" s="6">
        <v>0.73717287047582469</v>
      </c>
      <c r="E192" s="6">
        <v>0.81069000020769366</v>
      </c>
      <c r="F192" s="6">
        <f t="shared" si="2"/>
        <v>0.67865767466316151</v>
      </c>
      <c r="G192" s="3">
        <v>16087.525703866675</v>
      </c>
      <c r="H192" s="3">
        <v>10917.922785269999</v>
      </c>
      <c r="I192" s="3">
        <v>5591.8641844800004</v>
      </c>
      <c r="J192" s="10">
        <v>3073.12</v>
      </c>
      <c r="K192" s="11">
        <v>54.515000000000001</v>
      </c>
      <c r="L192" s="11">
        <v>2.6461000000000001</v>
      </c>
      <c r="M192" s="10">
        <v>122.92993190260401</v>
      </c>
      <c r="N192" s="10">
        <v>238.13270698976876</v>
      </c>
      <c r="O192" s="14">
        <v>2.2000000000000002</v>
      </c>
      <c r="P192" s="10">
        <v>463.78091646666655</v>
      </c>
    </row>
    <row r="193" spans="1:16" ht="18">
      <c r="A193" s="2">
        <v>42308</v>
      </c>
      <c r="B193" s="3">
        <v>3153.9582162199999</v>
      </c>
      <c r="C193" s="3">
        <v>2548.5887282399995</v>
      </c>
      <c r="D193" s="6">
        <v>0.62416969267923617</v>
      </c>
      <c r="E193" s="6">
        <v>0.77065325586105016</v>
      </c>
      <c r="F193" s="6">
        <f t="shared" si="2"/>
        <v>0.63483219037094019</v>
      </c>
      <c r="G193" s="3">
        <v>16150.394485290328</v>
      </c>
      <c r="H193" s="3">
        <v>10252.790306451612</v>
      </c>
      <c r="I193" s="3">
        <v>5664.7330864099995</v>
      </c>
      <c r="J193" s="10">
        <v>2937.85</v>
      </c>
      <c r="K193" s="11">
        <v>52.185000000000002</v>
      </c>
      <c r="L193" s="11">
        <v>2.3151999999999999</v>
      </c>
      <c r="M193" s="10">
        <v>145.33589158678402</v>
      </c>
      <c r="N193" s="10">
        <v>280.25581467480117</v>
      </c>
      <c r="O193" s="14">
        <v>2.5</v>
      </c>
      <c r="P193" s="10">
        <v>1117.1884214838713</v>
      </c>
    </row>
    <row r="194" spans="1:16" ht="18">
      <c r="A194" s="2">
        <v>42338</v>
      </c>
      <c r="B194" s="3">
        <v>3026.1489531799989</v>
      </c>
      <c r="C194" s="3">
        <v>2367.2672094699997</v>
      </c>
      <c r="D194" s="6">
        <v>0.71218280794362943</v>
      </c>
      <c r="E194" s="6">
        <v>0.73174385468573178</v>
      </c>
      <c r="F194" s="6">
        <f t="shared" si="2"/>
        <v>0.65187553070110238</v>
      </c>
      <c r="G194" s="3">
        <v>17261.468215000001</v>
      </c>
      <c r="H194" s="3">
        <v>11252.328753333335</v>
      </c>
      <c r="I194" s="3">
        <v>5343.2395576299996</v>
      </c>
      <c r="J194" s="10">
        <v>2996.67</v>
      </c>
      <c r="K194" s="11">
        <v>52.905000000000001</v>
      </c>
      <c r="L194" s="11">
        <v>2.0775000000000001</v>
      </c>
      <c r="M194" s="10">
        <v>160.81620035270095</v>
      </c>
      <c r="N194" s="10">
        <v>291.77342068980721</v>
      </c>
      <c r="O194" s="14">
        <v>2.6</v>
      </c>
      <c r="P194" s="10">
        <v>772.86712489999991</v>
      </c>
    </row>
    <row r="195" spans="1:16" ht="18">
      <c r="A195" s="2">
        <v>42369</v>
      </c>
      <c r="B195" s="3">
        <v>3056.3342728700009</v>
      </c>
      <c r="C195" s="3">
        <v>2590.7539798700004</v>
      </c>
      <c r="D195" s="6">
        <v>0.74345606189430435</v>
      </c>
      <c r="E195" s="6">
        <v>0.82307251400549686</v>
      </c>
      <c r="F195" s="6">
        <f t="shared" si="2"/>
        <v>0.64633124994587376</v>
      </c>
      <c r="G195" s="3">
        <v>17268.984881677425</v>
      </c>
      <c r="H195" s="3">
        <v>11161.484583870966</v>
      </c>
      <c r="I195" s="3">
        <v>5609.3054318799987</v>
      </c>
      <c r="J195" s="10">
        <v>3244.51</v>
      </c>
      <c r="K195" s="11">
        <v>50.49</v>
      </c>
      <c r="L195" s="11">
        <v>1.9228000000000001</v>
      </c>
      <c r="M195" s="10">
        <v>177.26486100138777</v>
      </c>
      <c r="N195" s="10">
        <v>334.76206133655097</v>
      </c>
      <c r="O195" s="14">
        <v>2.8</v>
      </c>
      <c r="P195" s="10">
        <v>636.35373635483859</v>
      </c>
    </row>
    <row r="196" spans="1:16" ht="18">
      <c r="A196" s="2">
        <v>42400</v>
      </c>
      <c r="B196" s="3">
        <v>2813.4676251899996</v>
      </c>
      <c r="C196" s="3">
        <v>2723.5852402299997</v>
      </c>
      <c r="D196" s="6">
        <v>0.75503123687521678</v>
      </c>
      <c r="E196" s="6">
        <v>0.86715043573462824</v>
      </c>
      <c r="F196" s="6">
        <f t="shared" ref="F196:F259" si="3">H196/G196</f>
        <v>0.57399457131325937</v>
      </c>
      <c r="G196" s="3">
        <v>17269.072738000003</v>
      </c>
      <c r="H196" s="3">
        <v>9912.3540032258061</v>
      </c>
      <c r="I196" s="3">
        <v>5492.6155940500003</v>
      </c>
      <c r="J196" s="10">
        <v>3284.03</v>
      </c>
      <c r="K196" s="11">
        <v>49.055000000000007</v>
      </c>
      <c r="L196" s="11">
        <v>2.2744</v>
      </c>
      <c r="M196" s="10">
        <v>161.47888080643142</v>
      </c>
      <c r="N196" s="10">
        <v>329.15249592696625</v>
      </c>
      <c r="O196" s="14">
        <v>2.6</v>
      </c>
      <c r="P196" s="10">
        <v>562.86587790322574</v>
      </c>
    </row>
    <row r="197" spans="1:16" ht="18">
      <c r="A197" s="2">
        <v>42429</v>
      </c>
      <c r="B197" s="3">
        <v>2836.2189611199997</v>
      </c>
      <c r="C197" s="3">
        <v>2567.2857899800006</v>
      </c>
      <c r="D197" s="6">
        <v>0.71958445086628731</v>
      </c>
      <c r="E197" s="6">
        <v>0.82615057544081572</v>
      </c>
      <c r="F197" s="6">
        <f t="shared" si="3"/>
        <v>0.47296002667196813</v>
      </c>
      <c r="G197" s="3">
        <v>17262.967258827597</v>
      </c>
      <c r="H197" s="3">
        <v>8164.6934551724125</v>
      </c>
      <c r="I197" s="3">
        <v>5375.5287043000008</v>
      </c>
      <c r="J197" s="10">
        <v>3357.5</v>
      </c>
      <c r="K197" s="11">
        <v>50.3</v>
      </c>
      <c r="L197" s="11">
        <v>1.9572000000000001</v>
      </c>
      <c r="M197" s="10">
        <v>169.7221126078056</v>
      </c>
      <c r="N197" s="10">
        <v>314.15525937278886</v>
      </c>
      <c r="O197" s="14">
        <v>2.2999999999999998</v>
      </c>
      <c r="P197" s="10">
        <v>650.31553934482758</v>
      </c>
    </row>
    <row r="198" spans="1:16" ht="18">
      <c r="A198" s="2">
        <v>42460</v>
      </c>
      <c r="B198" s="3">
        <v>2503.9702131099998</v>
      </c>
      <c r="C198" s="3">
        <v>2849.0906625000002</v>
      </c>
      <c r="D198" s="6">
        <v>0.6789312029688378</v>
      </c>
      <c r="E198" s="6">
        <v>0.81204866419097232</v>
      </c>
      <c r="F198" s="6">
        <f t="shared" si="3"/>
        <v>0.40706271570181807</v>
      </c>
      <c r="G198" s="3">
        <v>17271.513026322576</v>
      </c>
      <c r="H198" s="3">
        <v>7030.5889967741941</v>
      </c>
      <c r="I198" s="3">
        <v>5472.72044491</v>
      </c>
      <c r="J198" s="10">
        <v>3145.26</v>
      </c>
      <c r="K198" s="11">
        <v>52.39</v>
      </c>
      <c r="L198" s="11">
        <v>1.7017</v>
      </c>
      <c r="M198" s="10">
        <v>168.01314208618456</v>
      </c>
      <c r="N198" s="10">
        <v>294.82165542930289</v>
      </c>
      <c r="O198" s="14">
        <v>1.7</v>
      </c>
      <c r="P198" s="10">
        <v>832.72518574193555</v>
      </c>
    </row>
    <row r="199" spans="1:16" ht="18">
      <c r="A199" s="2">
        <v>42490</v>
      </c>
      <c r="B199" s="3">
        <v>3313.7542735299994</v>
      </c>
      <c r="C199" s="3">
        <v>1947.1423694800001</v>
      </c>
      <c r="D199" s="6">
        <v>0.73535054151936363</v>
      </c>
      <c r="E199" s="6">
        <v>0.84586517374649661</v>
      </c>
      <c r="F199" s="6">
        <f t="shared" si="3"/>
        <v>0.40101244676123343</v>
      </c>
      <c r="G199" s="3">
        <v>17284.310290066667</v>
      </c>
      <c r="H199" s="3">
        <v>6931.2235599999985</v>
      </c>
      <c r="I199" s="3">
        <v>5282.0162622600001</v>
      </c>
      <c r="J199" s="10">
        <v>2998.71</v>
      </c>
      <c r="K199" s="11">
        <v>51.519999999999996</v>
      </c>
      <c r="L199" s="11">
        <v>1.9047000000000001</v>
      </c>
      <c r="M199" s="10">
        <v>157.43485004491743</v>
      </c>
      <c r="N199" s="10">
        <v>256.29061829886592</v>
      </c>
      <c r="O199" s="14">
        <v>1</v>
      </c>
      <c r="P199" s="10">
        <v>335.23278036666665</v>
      </c>
    </row>
    <row r="200" spans="1:16" ht="18">
      <c r="A200" s="2">
        <v>42521</v>
      </c>
      <c r="B200" s="3">
        <v>4304.680388490001</v>
      </c>
      <c r="C200" s="3">
        <v>1140.9589747199996</v>
      </c>
      <c r="D200" s="6">
        <v>0.76135707981557221</v>
      </c>
      <c r="E200" s="6">
        <v>0.88427348517446402</v>
      </c>
      <c r="F200" s="6">
        <f t="shared" si="3"/>
        <v>0.4196640550979242</v>
      </c>
      <c r="G200" s="3">
        <v>17279.369492999998</v>
      </c>
      <c r="H200" s="3">
        <v>7251.5302709677417</v>
      </c>
      <c r="I200" s="3">
        <v>5444.1419206399996</v>
      </c>
      <c r="J200" s="10">
        <v>2988.38</v>
      </c>
      <c r="K200" s="11">
        <v>52.775000000000006</v>
      </c>
      <c r="L200" s="11">
        <v>1.9219999999999999</v>
      </c>
      <c r="M200" s="10">
        <v>144.39389031492388</v>
      </c>
      <c r="N200" s="10">
        <v>266.45326890916681</v>
      </c>
      <c r="O200" s="14">
        <v>0.5</v>
      </c>
      <c r="P200" s="10">
        <v>141.87053900000004</v>
      </c>
    </row>
    <row r="201" spans="1:16" ht="18">
      <c r="A201" s="2">
        <v>42551</v>
      </c>
      <c r="B201" s="3">
        <v>4109.69831626</v>
      </c>
      <c r="C201" s="3">
        <v>1205.5862971299998</v>
      </c>
      <c r="D201" s="6">
        <v>0.75565748189217152</v>
      </c>
      <c r="E201" s="6">
        <v>0.84709617534949044</v>
      </c>
      <c r="F201" s="6">
        <f t="shared" si="3"/>
        <v>0.45331713151784797</v>
      </c>
      <c r="G201" s="3">
        <v>17260.39511706667</v>
      </c>
      <c r="H201" s="3">
        <v>7824.4328033333322</v>
      </c>
      <c r="I201" s="3">
        <v>5293.6804635000008</v>
      </c>
      <c r="J201" s="10">
        <v>2991.68</v>
      </c>
      <c r="K201" s="11">
        <v>55.72</v>
      </c>
      <c r="L201" s="11">
        <v>2.5666000000000002</v>
      </c>
      <c r="M201" s="10">
        <v>132.32929850297492</v>
      </c>
      <c r="N201" s="10">
        <v>269.35279655196712</v>
      </c>
      <c r="O201" s="14">
        <v>0</v>
      </c>
      <c r="P201" s="10">
        <v>171.38424453333334</v>
      </c>
    </row>
    <row r="202" spans="1:16" ht="18">
      <c r="A202" s="2">
        <v>42582</v>
      </c>
      <c r="B202" s="3">
        <v>4422.2886570399996</v>
      </c>
      <c r="C202" s="3">
        <v>997.7881688299999</v>
      </c>
      <c r="D202" s="6">
        <v>0.81616631412362783</v>
      </c>
      <c r="E202" s="6">
        <v>0.82611531883692524</v>
      </c>
      <c r="F202" s="6">
        <f t="shared" si="3"/>
        <v>0.53539284690978117</v>
      </c>
      <c r="G202" s="3">
        <v>17237.617383999994</v>
      </c>
      <c r="H202" s="3">
        <v>9228.8970451612913</v>
      </c>
      <c r="I202" s="3">
        <v>5372.8917020500012</v>
      </c>
      <c r="J202" s="10">
        <v>2963.99</v>
      </c>
      <c r="K202" s="11">
        <v>61.814999999999998</v>
      </c>
      <c r="L202" s="11">
        <v>2.7879</v>
      </c>
      <c r="M202" s="10">
        <v>125.4050676819717</v>
      </c>
      <c r="N202" s="10">
        <v>323.15817227908849</v>
      </c>
      <c r="O202" s="14">
        <v>-0.3</v>
      </c>
      <c r="P202" s="10">
        <v>131.03447470967743</v>
      </c>
    </row>
    <row r="203" spans="1:16" ht="18">
      <c r="A203" s="2">
        <v>42613</v>
      </c>
      <c r="B203" s="3">
        <v>4546.3575662599997</v>
      </c>
      <c r="C203" s="3">
        <v>1128.4084105699999</v>
      </c>
      <c r="D203" s="6">
        <v>0.78884940015417504</v>
      </c>
      <c r="E203" s="6">
        <v>0.73348831080719323</v>
      </c>
      <c r="F203" s="6">
        <f t="shared" si="3"/>
        <v>0.56057908181531646</v>
      </c>
      <c r="G203" s="3">
        <v>17237.617383999994</v>
      </c>
      <c r="H203" s="3">
        <v>9663.0477258064529</v>
      </c>
      <c r="I203" s="3">
        <v>5655.0676072900005</v>
      </c>
      <c r="J203" s="10">
        <v>2963.82</v>
      </c>
      <c r="K203" s="11">
        <v>66.865000000000009</v>
      </c>
      <c r="L203" s="11">
        <v>2.7913000000000001</v>
      </c>
      <c r="M203" s="10">
        <v>132.87267824894002</v>
      </c>
      <c r="N203" s="10">
        <v>340.54404047287915</v>
      </c>
      <c r="O203" s="14">
        <v>-0.5</v>
      </c>
      <c r="P203" s="10">
        <v>201.50555383870972</v>
      </c>
    </row>
    <row r="204" spans="1:16" ht="18">
      <c r="A204" s="2">
        <v>42643</v>
      </c>
      <c r="B204" s="3">
        <v>4495.1450645299992</v>
      </c>
      <c r="C204" s="3">
        <v>984.76318510999999</v>
      </c>
      <c r="D204" s="6">
        <v>0.76790064590620666</v>
      </c>
      <c r="E204" s="6">
        <v>0.74899150920333346</v>
      </c>
      <c r="F204" s="6">
        <f t="shared" si="3"/>
        <v>0.59837975962041878</v>
      </c>
      <c r="G204" s="3">
        <v>17237.617383999994</v>
      </c>
      <c r="H204" s="3">
        <v>10314.641346666669</v>
      </c>
      <c r="I204" s="3">
        <v>5425.1272740900004</v>
      </c>
      <c r="J204" s="10">
        <v>2921.15</v>
      </c>
      <c r="K204" s="11">
        <v>70.525000000000006</v>
      </c>
      <c r="L204" s="11">
        <v>2.9689000000000001</v>
      </c>
      <c r="M204" s="10">
        <v>147.84389198866944</v>
      </c>
      <c r="N204" s="10">
        <v>323.80706293834623</v>
      </c>
      <c r="O204" s="14">
        <v>-0.6</v>
      </c>
      <c r="P204" s="10">
        <v>154.22300816666663</v>
      </c>
    </row>
    <row r="205" spans="1:16" ht="18">
      <c r="A205" s="2">
        <v>42674</v>
      </c>
      <c r="B205" s="3">
        <v>4305.5444873200004</v>
      </c>
      <c r="C205" s="3">
        <v>1217.3530160399998</v>
      </c>
      <c r="D205" s="6">
        <v>0.75704874026148661</v>
      </c>
      <c r="E205" s="6">
        <v>0.7253538416146984</v>
      </c>
      <c r="F205" s="6">
        <f t="shared" si="3"/>
        <v>0.6310196639547514</v>
      </c>
      <c r="G205" s="3">
        <v>17237.617383999994</v>
      </c>
      <c r="H205" s="3">
        <v>10877.275529032257</v>
      </c>
      <c r="I205" s="3">
        <v>5481.8322550600005</v>
      </c>
      <c r="J205" s="10">
        <v>2932.61</v>
      </c>
      <c r="K205" s="11">
        <v>88.995000000000005</v>
      </c>
      <c r="L205" s="11">
        <v>2.9491999999999998</v>
      </c>
      <c r="M205" s="10">
        <v>144.62948016785887</v>
      </c>
      <c r="N205" s="10">
        <v>285.22034210164026</v>
      </c>
      <c r="O205" s="14">
        <v>-0.6</v>
      </c>
      <c r="P205" s="10">
        <v>188.87367654838718</v>
      </c>
    </row>
    <row r="206" spans="1:16" ht="18">
      <c r="A206" s="2">
        <v>42704</v>
      </c>
      <c r="B206" s="3">
        <v>4436.65107042</v>
      </c>
      <c r="C206" s="3">
        <v>943.33409604999986</v>
      </c>
      <c r="D206" s="6">
        <v>0.82529987618819611</v>
      </c>
      <c r="E206" s="6">
        <v>0.72457334551937458</v>
      </c>
      <c r="F206" s="6">
        <f t="shared" si="3"/>
        <v>0.68909358287293432</v>
      </c>
      <c r="G206" s="3">
        <v>17237.617383999994</v>
      </c>
      <c r="H206" s="3">
        <v>11878.331523333332</v>
      </c>
      <c r="I206" s="3">
        <v>5328.5676871099995</v>
      </c>
      <c r="J206" s="10">
        <v>3106.4</v>
      </c>
      <c r="K206" s="11">
        <v>96.29</v>
      </c>
      <c r="L206" s="11">
        <v>2.5009000000000001</v>
      </c>
      <c r="M206" s="10">
        <v>139.51328811655739</v>
      </c>
      <c r="N206" s="10">
        <v>325.61908469281809</v>
      </c>
      <c r="O206" s="14">
        <v>-0.6</v>
      </c>
      <c r="P206" s="10">
        <v>169.11779949999996</v>
      </c>
    </row>
    <row r="207" spans="1:16" ht="18">
      <c r="A207" s="2">
        <v>42735</v>
      </c>
      <c r="B207" s="3">
        <v>4710.7767787400007</v>
      </c>
      <c r="C207" s="3">
        <v>789.34319560999984</v>
      </c>
      <c r="D207" s="6">
        <v>0.81528815774559016</v>
      </c>
      <c r="E207" s="6">
        <v>0.75051854581241007</v>
      </c>
      <c r="F207" s="6">
        <f t="shared" si="3"/>
        <v>0.74852665495913373</v>
      </c>
      <c r="G207" s="3">
        <v>17074.208094387101</v>
      </c>
      <c r="H207" s="3">
        <v>12780.499870967742</v>
      </c>
      <c r="I207" s="3">
        <v>5445.8736348400007</v>
      </c>
      <c r="J207" s="10">
        <v>3009.53</v>
      </c>
      <c r="K207" s="11">
        <v>84.17</v>
      </c>
      <c r="L207" s="11">
        <v>3.5817999999999999</v>
      </c>
      <c r="M207" s="10">
        <v>121.7362946272921</v>
      </c>
      <c r="N207" s="10">
        <v>363.08094961842585</v>
      </c>
      <c r="O207" s="14">
        <v>-0.5</v>
      </c>
      <c r="P207" s="10">
        <v>108.73970280645162</v>
      </c>
    </row>
    <row r="208" spans="1:16" ht="18">
      <c r="A208" s="2">
        <v>42766</v>
      </c>
      <c r="B208" s="3">
        <v>4699.5200956499993</v>
      </c>
      <c r="C208" s="3">
        <v>668.00713810999991</v>
      </c>
      <c r="D208" s="6">
        <v>0.80781399030979384</v>
      </c>
      <c r="E208" s="6">
        <v>0.79255891944478729</v>
      </c>
      <c r="F208" s="6">
        <f t="shared" si="3"/>
        <v>0.71215471544774378</v>
      </c>
      <c r="G208" s="3">
        <v>17023.825701645161</v>
      </c>
      <c r="H208" s="3">
        <v>12123.597748387096</v>
      </c>
      <c r="I208" s="3">
        <v>5324.8573526499995</v>
      </c>
      <c r="J208" s="10">
        <v>2944.65</v>
      </c>
      <c r="K208" s="11">
        <v>85.11</v>
      </c>
      <c r="L208" s="11">
        <v>3.2608000000000001</v>
      </c>
      <c r="M208" s="10">
        <v>124.03159413372643</v>
      </c>
      <c r="N208" s="10">
        <v>366.94483047924263</v>
      </c>
      <c r="O208" s="14">
        <v>-0.2</v>
      </c>
      <c r="P208" s="10">
        <v>114.59388090322584</v>
      </c>
    </row>
    <row r="209" spans="1:16" ht="18">
      <c r="A209" s="2">
        <v>42794</v>
      </c>
      <c r="B209" s="3">
        <v>4201.9581156299992</v>
      </c>
      <c r="C209" s="3">
        <v>925.32151424000017</v>
      </c>
      <c r="D209" s="6">
        <v>0.77652912075684544</v>
      </c>
      <c r="E209" s="6">
        <v>0.82821836395284876</v>
      </c>
      <c r="F209" s="6">
        <f t="shared" si="3"/>
        <v>0.61303767997697756</v>
      </c>
      <c r="G209" s="3">
        <v>17171.598734999992</v>
      </c>
      <c r="H209" s="3">
        <v>10526.837049999998</v>
      </c>
      <c r="I209" s="3">
        <v>5086.4728535200011</v>
      </c>
      <c r="J209" s="10">
        <v>2881.68</v>
      </c>
      <c r="K209" s="11">
        <v>81.789999999999992</v>
      </c>
      <c r="L209" s="11">
        <v>2.8233000000000001</v>
      </c>
      <c r="M209" s="10">
        <v>133.37461752569826</v>
      </c>
      <c r="N209" s="10">
        <v>367.22484496938722</v>
      </c>
      <c r="O209" s="14">
        <v>0</v>
      </c>
      <c r="P209" s="10">
        <v>159.54191767857145</v>
      </c>
    </row>
    <row r="210" spans="1:16" ht="18">
      <c r="A210" s="2">
        <v>42825</v>
      </c>
      <c r="B210" s="3">
        <v>4580.9717822100001</v>
      </c>
      <c r="C210" s="3">
        <v>874.41553173</v>
      </c>
      <c r="D210" s="6">
        <v>0.76714429073722001</v>
      </c>
      <c r="E210" s="6">
        <v>0.83149245042125441</v>
      </c>
      <c r="F210" s="6">
        <f t="shared" si="3"/>
        <v>0.54797667760145885</v>
      </c>
      <c r="G210" s="3">
        <v>17207.765247064512</v>
      </c>
      <c r="H210" s="3">
        <v>9429.4540290322584</v>
      </c>
      <c r="I210" s="3">
        <v>5494.7045233099998</v>
      </c>
      <c r="J210" s="10">
        <v>2943.49</v>
      </c>
      <c r="K210" s="11">
        <v>80.004999999999995</v>
      </c>
      <c r="L210" s="11">
        <v>2.8875000000000002</v>
      </c>
      <c r="M210" s="10">
        <v>144.04562787622345</v>
      </c>
      <c r="N210" s="10">
        <v>364.268260849667</v>
      </c>
      <c r="O210" s="14">
        <v>0.2</v>
      </c>
      <c r="P210" s="10">
        <v>121.92107129032259</v>
      </c>
    </row>
    <row r="211" spans="1:16" ht="18">
      <c r="A211" s="2">
        <v>42855</v>
      </c>
      <c r="B211" s="3">
        <v>4692.5150678799992</v>
      </c>
      <c r="C211" s="3">
        <v>661.58458711999992</v>
      </c>
      <c r="D211" s="6">
        <v>0.81999515431819003</v>
      </c>
      <c r="E211" s="6">
        <v>0.81680714015748401</v>
      </c>
      <c r="F211" s="6">
        <f t="shared" si="3"/>
        <v>0.5891905998247281</v>
      </c>
      <c r="G211" s="3">
        <v>17195.823937133326</v>
      </c>
      <c r="H211" s="3">
        <v>10131.617820000001</v>
      </c>
      <c r="I211" s="3">
        <v>5332.69676084</v>
      </c>
      <c r="J211" s="10">
        <v>2873.55</v>
      </c>
      <c r="K211" s="11">
        <v>81.27000000000001</v>
      </c>
      <c r="L211" s="11">
        <v>3.0819999999999999</v>
      </c>
      <c r="M211" s="10">
        <v>141.46466320293757</v>
      </c>
      <c r="N211" s="10">
        <v>369.55302179706251</v>
      </c>
      <c r="O211" s="14">
        <v>0.3</v>
      </c>
      <c r="P211" s="10">
        <v>98.33270753333332</v>
      </c>
    </row>
    <row r="212" spans="1:16" ht="18">
      <c r="A212" s="2">
        <v>42886</v>
      </c>
      <c r="B212" s="3">
        <v>5043.4949435600001</v>
      </c>
      <c r="C212" s="3">
        <v>586.91661858999987</v>
      </c>
      <c r="D212" s="6">
        <v>0.82009735723679789</v>
      </c>
      <c r="E212" s="6">
        <v>0.79798187669039822</v>
      </c>
      <c r="F212" s="6">
        <f t="shared" si="3"/>
        <v>0.66739039574169512</v>
      </c>
      <c r="G212" s="3">
        <v>17195.996297548398</v>
      </c>
      <c r="H212" s="3">
        <v>11476.442774193549</v>
      </c>
      <c r="I212" s="3">
        <v>5576.9302068299985</v>
      </c>
      <c r="J212" s="10">
        <v>2924</v>
      </c>
      <c r="K212" s="11">
        <v>74.414999999999992</v>
      </c>
      <c r="L212" s="11">
        <v>3.1248</v>
      </c>
      <c r="M212" s="10">
        <v>135.79319415791275</v>
      </c>
      <c r="N212" s="10">
        <v>378.21229723303622</v>
      </c>
      <c r="O212" s="14">
        <v>0.4</v>
      </c>
      <c r="P212" s="10">
        <v>72.165823129032248</v>
      </c>
    </row>
    <row r="213" spans="1:16" ht="18">
      <c r="A213" s="2">
        <v>42916</v>
      </c>
      <c r="B213" s="3">
        <v>4897.1611015400003</v>
      </c>
      <c r="C213" s="3">
        <v>545.5449810099999</v>
      </c>
      <c r="D213" s="6">
        <v>0.8099113232369578</v>
      </c>
      <c r="E213" s="6">
        <v>0.82702681662578859</v>
      </c>
      <c r="F213" s="6">
        <f t="shared" si="3"/>
        <v>0.75213781954300296</v>
      </c>
      <c r="G213" s="3">
        <v>17196.12176200001</v>
      </c>
      <c r="H213" s="3">
        <v>12933.853526666669</v>
      </c>
      <c r="I213" s="3">
        <v>5377.9179605600002</v>
      </c>
      <c r="J213" s="10">
        <v>2958.36</v>
      </c>
      <c r="K213" s="11">
        <v>80.14500000000001</v>
      </c>
      <c r="L213" s="11">
        <v>2.9409999999999998</v>
      </c>
      <c r="M213" s="10">
        <v>139.77073623494607</v>
      </c>
      <c r="N213" s="10">
        <v>367.38416773737117</v>
      </c>
      <c r="O213" s="14">
        <v>0.4</v>
      </c>
      <c r="P213" s="10">
        <v>68.677255499999987</v>
      </c>
    </row>
    <row r="214" spans="1:16" ht="18">
      <c r="A214" s="2">
        <v>42947</v>
      </c>
      <c r="B214" s="3">
        <v>5067.7197257500011</v>
      </c>
      <c r="C214" s="3">
        <v>525.8675112100002</v>
      </c>
      <c r="D214" s="6">
        <v>0.78176362423662626</v>
      </c>
      <c r="E214" s="6">
        <v>0.84625159232783087</v>
      </c>
      <c r="F214" s="6">
        <f t="shared" si="3"/>
        <v>0.7905527254318151</v>
      </c>
      <c r="G214" s="3">
        <v>17196.12176200001</v>
      </c>
      <c r="H214" s="3">
        <v>13594.440925806453</v>
      </c>
      <c r="I214" s="3">
        <v>5550.1604241199993</v>
      </c>
      <c r="J214" s="10">
        <v>3038.76</v>
      </c>
      <c r="K214" s="11">
        <v>84.59</v>
      </c>
      <c r="L214" s="11">
        <v>2.9613999999999998</v>
      </c>
      <c r="M214" s="10">
        <v>149.88623317195444</v>
      </c>
      <c r="N214" s="10">
        <v>378.60518120677392</v>
      </c>
      <c r="O214" s="14">
        <v>0.2</v>
      </c>
      <c r="P214" s="10">
        <v>71.284816322580639</v>
      </c>
    </row>
    <row r="215" spans="1:16" ht="18">
      <c r="A215" s="2">
        <v>42978</v>
      </c>
      <c r="B215" s="3">
        <v>5047.9041639400002</v>
      </c>
      <c r="C215" s="3">
        <v>656.32825478999996</v>
      </c>
      <c r="D215" s="6">
        <v>0.79413534979475331</v>
      </c>
      <c r="E215" s="6">
        <v>0.87262371800798877</v>
      </c>
      <c r="F215" s="6">
        <f t="shared" si="3"/>
        <v>0.77503976230049998</v>
      </c>
      <c r="G215" s="3">
        <v>17184.154891677423</v>
      </c>
      <c r="H215" s="3">
        <v>13318.403322580643</v>
      </c>
      <c r="I215" s="3">
        <v>5656.1769808300005</v>
      </c>
      <c r="J215" s="10">
        <v>2972.62</v>
      </c>
      <c r="K215" s="11">
        <v>93.210000000000008</v>
      </c>
      <c r="L215" s="11">
        <v>2.8757000000000001</v>
      </c>
      <c r="M215" s="10">
        <v>152.85453259258827</v>
      </c>
      <c r="N215" s="10">
        <v>371.19502318028015</v>
      </c>
      <c r="O215" s="14">
        <v>-0.1</v>
      </c>
      <c r="P215" s="10">
        <v>93.526157741935492</v>
      </c>
    </row>
    <row r="216" spans="1:16" ht="18">
      <c r="A216" s="2">
        <v>43008</v>
      </c>
      <c r="B216" s="3">
        <v>4765.6633376500004</v>
      </c>
      <c r="C216" s="3">
        <v>792.08397486000013</v>
      </c>
      <c r="D216" s="6">
        <v>0.80099288797336243</v>
      </c>
      <c r="E216" s="6">
        <v>0.86263637487551326</v>
      </c>
      <c r="F216" s="6">
        <f t="shared" si="3"/>
        <v>0.74840556567005811</v>
      </c>
      <c r="G216" s="3">
        <v>17179.992502000005</v>
      </c>
      <c r="H216" s="3">
        <v>12857.60200666667</v>
      </c>
      <c r="I216" s="3">
        <v>5516.3192268499997</v>
      </c>
      <c r="J216" s="10">
        <v>2918.49</v>
      </c>
      <c r="K216" s="11">
        <v>95.039999999999992</v>
      </c>
      <c r="L216" s="11">
        <v>2.9630000000000001</v>
      </c>
      <c r="M216" s="10">
        <v>152.0090351752041</v>
      </c>
      <c r="N216" s="10">
        <v>362.90468575012159</v>
      </c>
      <c r="O216" s="14">
        <v>-0.3</v>
      </c>
      <c r="P216" s="10">
        <v>125.56641343333334</v>
      </c>
    </row>
    <row r="217" spans="1:16" ht="18">
      <c r="A217" s="2">
        <v>43039</v>
      </c>
      <c r="B217" s="3">
        <v>4800.9278059599992</v>
      </c>
      <c r="C217" s="3">
        <v>872.51126422999994</v>
      </c>
      <c r="D217" s="6">
        <v>0.77505118588198696</v>
      </c>
      <c r="E217" s="6">
        <v>0.88048441396591759</v>
      </c>
      <c r="F217" s="6">
        <f t="shared" si="3"/>
        <v>0.72454451427330668</v>
      </c>
      <c r="G217" s="3">
        <v>17179.992502000005</v>
      </c>
      <c r="H217" s="3">
        <v>12447.669322580645</v>
      </c>
      <c r="I217" s="3">
        <v>5625.3118311099997</v>
      </c>
      <c r="J217" s="10">
        <v>2955.06</v>
      </c>
      <c r="K217" s="11">
        <v>94.27000000000001</v>
      </c>
      <c r="L217" s="11">
        <v>2.8637999999999999</v>
      </c>
      <c r="M217" s="10">
        <v>125.30244358701731</v>
      </c>
      <c r="N217" s="10">
        <v>357.62090060254167</v>
      </c>
      <c r="O217" s="14">
        <v>-0.6</v>
      </c>
      <c r="P217" s="10">
        <v>139.00504803225803</v>
      </c>
    </row>
    <row r="218" spans="1:16" ht="18">
      <c r="A218" s="2">
        <v>43069</v>
      </c>
      <c r="B218" s="3">
        <v>4683.70126592</v>
      </c>
      <c r="C218" s="3">
        <v>823.32891426000003</v>
      </c>
      <c r="D218" s="6">
        <v>0.80881995368119841</v>
      </c>
      <c r="E218" s="6">
        <v>0.83160913210382748</v>
      </c>
      <c r="F218" s="6">
        <f t="shared" si="3"/>
        <v>0.7173197181876162</v>
      </c>
      <c r="G218" s="3">
        <v>17179.992502000005</v>
      </c>
      <c r="H218" s="3">
        <v>12323.547380000002</v>
      </c>
      <c r="I218" s="3">
        <v>5465.6892942499999</v>
      </c>
      <c r="J218" s="10">
        <v>3013.17</v>
      </c>
      <c r="K218" s="11">
        <v>94.015000000000001</v>
      </c>
      <c r="L218" s="11">
        <v>2.9912999999999998</v>
      </c>
      <c r="M218" s="10">
        <v>131.80505618726355</v>
      </c>
      <c r="N218" s="10">
        <v>374.68207878169767</v>
      </c>
      <c r="O218" s="14">
        <v>-0.8</v>
      </c>
      <c r="P218" s="10">
        <v>128.47526376666667</v>
      </c>
    </row>
    <row r="219" spans="1:16" ht="18">
      <c r="A219" s="2">
        <v>43100</v>
      </c>
      <c r="B219" s="3">
        <v>4861.4429166100008</v>
      </c>
      <c r="C219" s="3">
        <v>750.97063533000016</v>
      </c>
      <c r="D219" s="6">
        <v>0.85434978917379456</v>
      </c>
      <c r="E219" s="6">
        <v>0.89711876627796283</v>
      </c>
      <c r="F219" s="6">
        <f t="shared" si="3"/>
        <v>0.68861643895870628</v>
      </c>
      <c r="G219" s="3">
        <v>17179.992502000005</v>
      </c>
      <c r="H219" s="3">
        <v>11830.425258064517</v>
      </c>
      <c r="I219" s="3">
        <v>5559.5486654300003</v>
      </c>
      <c r="J219" s="10">
        <v>2991.42</v>
      </c>
      <c r="K219" s="11">
        <v>98.14500000000001</v>
      </c>
      <c r="L219" s="11">
        <v>2.7583000000000002</v>
      </c>
      <c r="M219" s="10">
        <v>132.1866231466274</v>
      </c>
      <c r="N219" s="10">
        <v>389.88677778382572</v>
      </c>
      <c r="O219" s="14">
        <v>-0.9</v>
      </c>
      <c r="P219" s="10">
        <v>102.18841119354842</v>
      </c>
    </row>
    <row r="220" spans="1:16" ht="18">
      <c r="A220" s="2">
        <v>43131</v>
      </c>
      <c r="B220" s="3">
        <v>4515.1816788799997</v>
      </c>
      <c r="C220" s="3">
        <v>920.31357335999985</v>
      </c>
      <c r="D220" s="6">
        <v>0.8305430930891462</v>
      </c>
      <c r="E220" s="6">
        <v>0.91494251514485114</v>
      </c>
      <c r="F220" s="6">
        <f t="shared" si="3"/>
        <v>0.63431355803555267</v>
      </c>
      <c r="G220" s="3">
        <v>17179.992502000005</v>
      </c>
      <c r="H220" s="3">
        <v>10897.50217096774</v>
      </c>
      <c r="I220" s="3">
        <v>5510.98683136</v>
      </c>
      <c r="J220" s="10">
        <v>2867.68</v>
      </c>
      <c r="K220" s="11">
        <v>101.965</v>
      </c>
      <c r="L220" s="11">
        <v>3.8555999999999999</v>
      </c>
      <c r="M220" s="10">
        <v>122.73981623570486</v>
      </c>
      <c r="N220" s="10">
        <v>383.420687017278</v>
      </c>
      <c r="O220" s="14">
        <v>-0.8</v>
      </c>
      <c r="P220" s="10">
        <v>125.51469922580647</v>
      </c>
    </row>
    <row r="221" spans="1:16" ht="18">
      <c r="A221" s="2">
        <v>43159</v>
      </c>
      <c r="B221" s="3">
        <v>3787.9628378399998</v>
      </c>
      <c r="C221" s="3">
        <v>1358.2266548600003</v>
      </c>
      <c r="D221" s="6">
        <v>0.7898569346096197</v>
      </c>
      <c r="E221" s="6">
        <v>0.89240517850384404</v>
      </c>
      <c r="F221" s="6">
        <f t="shared" si="3"/>
        <v>0.54275986019702316</v>
      </c>
      <c r="G221" s="3">
        <v>17179.992502000005</v>
      </c>
      <c r="H221" s="3">
        <v>9324.6103285714289</v>
      </c>
      <c r="I221" s="3">
        <v>5130.9052093800001</v>
      </c>
      <c r="J221" s="10">
        <v>2860</v>
      </c>
      <c r="K221" s="11">
        <v>99.314999999999998</v>
      </c>
      <c r="L221" s="11">
        <v>2.6707999999999998</v>
      </c>
      <c r="M221" s="10">
        <v>126.16493809266629</v>
      </c>
      <c r="N221" s="10">
        <v>400.93105811566096</v>
      </c>
      <c r="O221" s="14">
        <v>-0.7</v>
      </c>
      <c r="P221" s="10">
        <v>141.02563010714289</v>
      </c>
    </row>
    <row r="222" spans="1:16" ht="18">
      <c r="A222" s="2">
        <v>43190</v>
      </c>
      <c r="B222" s="3">
        <v>4363.4215272499996</v>
      </c>
      <c r="C222" s="3">
        <v>1347.8472748699999</v>
      </c>
      <c r="D222" s="6">
        <v>0.78822035251839428</v>
      </c>
      <c r="E222" s="6">
        <v>0.8901532609758448</v>
      </c>
      <c r="F222" s="6">
        <f t="shared" si="3"/>
        <v>0.43295341443187685</v>
      </c>
      <c r="G222" s="3">
        <v>17195.129575451607</v>
      </c>
      <c r="H222" s="3">
        <v>7444.6900612903219</v>
      </c>
      <c r="I222" s="3">
        <v>5675.7828482599998</v>
      </c>
      <c r="J222" s="10">
        <v>2852.46</v>
      </c>
      <c r="K222" s="11">
        <v>93.08</v>
      </c>
      <c r="L222" s="11">
        <v>2.6989000000000001</v>
      </c>
      <c r="M222" s="10">
        <v>133.9440564398129</v>
      </c>
      <c r="N222" s="10">
        <v>411.87930599824313</v>
      </c>
      <c r="O222" s="14">
        <v>-0.6</v>
      </c>
      <c r="P222" s="10">
        <v>173.16786506451612</v>
      </c>
    </row>
    <row r="223" spans="1:16" ht="18">
      <c r="A223" s="2">
        <v>43220</v>
      </c>
      <c r="B223" s="3">
        <v>4775.5474139899998</v>
      </c>
      <c r="C223" s="3">
        <v>745.25597071000016</v>
      </c>
      <c r="D223" s="6">
        <v>0.79314520965747615</v>
      </c>
      <c r="E223" s="6">
        <v>0.82168115524997032</v>
      </c>
      <c r="F223" s="6">
        <f t="shared" si="3"/>
        <v>0.4372252075795513</v>
      </c>
      <c r="G223" s="3">
        <v>17206.47637933334</v>
      </c>
      <c r="H223" s="3">
        <v>7523.1052066666662</v>
      </c>
      <c r="I223" s="3">
        <v>5493.40172592</v>
      </c>
      <c r="J223" s="10">
        <v>2765.96</v>
      </c>
      <c r="K223" s="11">
        <v>93.004999999999995</v>
      </c>
      <c r="L223" s="11">
        <v>2.7791000000000001</v>
      </c>
      <c r="M223" s="10">
        <v>139.50871591146125</v>
      </c>
      <c r="N223" s="10">
        <v>410.20795585691491</v>
      </c>
      <c r="O223" s="14">
        <v>-0.4</v>
      </c>
      <c r="P223" s="10">
        <v>118.02938419999997</v>
      </c>
    </row>
    <row r="224" spans="1:16" ht="18">
      <c r="A224" s="2">
        <v>43251</v>
      </c>
      <c r="B224" s="3">
        <v>4912.4281093400004</v>
      </c>
      <c r="C224" s="3">
        <v>827.75618029999998</v>
      </c>
      <c r="D224" s="6">
        <v>0.8305701940811151</v>
      </c>
      <c r="E224" s="6">
        <v>0.84997200031228493</v>
      </c>
      <c r="F224" s="6">
        <f t="shared" si="3"/>
        <v>0.58011102234501355</v>
      </c>
      <c r="G224" s="3">
        <v>17209.880138000004</v>
      </c>
      <c r="H224" s="3">
        <v>9983.6411612903248</v>
      </c>
      <c r="I224" s="3">
        <v>5687.78142338</v>
      </c>
      <c r="J224" s="10">
        <v>2862.95</v>
      </c>
      <c r="K224" s="11">
        <v>103.59</v>
      </c>
      <c r="L224" s="11">
        <v>2.7972000000000001</v>
      </c>
      <c r="M224" s="10">
        <v>142.43753315892789</v>
      </c>
      <c r="N224" s="10">
        <v>403.33297315558406</v>
      </c>
      <c r="O224" s="14">
        <v>-0.1</v>
      </c>
      <c r="P224" s="10">
        <v>75.813696225806453</v>
      </c>
    </row>
    <row r="225" spans="1:16" ht="18">
      <c r="A225" s="2">
        <v>43281</v>
      </c>
      <c r="B225" s="3">
        <v>4832.4106873100009</v>
      </c>
      <c r="C225" s="3">
        <v>790.8801238499999</v>
      </c>
      <c r="D225" s="6">
        <v>0.86472570944181892</v>
      </c>
      <c r="E225" s="6">
        <v>0.88398516548343709</v>
      </c>
      <c r="F225" s="6">
        <f t="shared" si="3"/>
        <v>0.74340989056341078</v>
      </c>
      <c r="G225" s="3">
        <v>17209.880138000004</v>
      </c>
      <c r="H225" s="3">
        <v>12793.99511</v>
      </c>
      <c r="I225" s="3">
        <v>5585.2905466399998</v>
      </c>
      <c r="J225" s="10">
        <v>2893.22</v>
      </c>
      <c r="K225" s="11">
        <v>109.10499999999999</v>
      </c>
      <c r="L225" s="11">
        <v>2.9523000000000001</v>
      </c>
      <c r="M225" s="10">
        <v>156.18552724677218</v>
      </c>
      <c r="N225" s="10">
        <v>424.68032994674923</v>
      </c>
      <c r="O225" s="14">
        <v>0.1</v>
      </c>
      <c r="P225" s="10">
        <v>74.305094033333333</v>
      </c>
    </row>
    <row r="226" spans="1:16" ht="18">
      <c r="A226" s="2">
        <v>43312</v>
      </c>
      <c r="B226" s="3">
        <v>5071.7640500899997</v>
      </c>
      <c r="C226" s="3">
        <v>765.92757154999993</v>
      </c>
      <c r="D226" s="6">
        <v>0.84031312394598978</v>
      </c>
      <c r="E226" s="6">
        <v>0.86622484030561064</v>
      </c>
      <c r="F226" s="6">
        <f t="shared" si="3"/>
        <v>0.80045606248070433</v>
      </c>
      <c r="G226" s="3">
        <v>17204.385398580649</v>
      </c>
      <c r="H226" s="3">
        <v>13771.354593548389</v>
      </c>
      <c r="I226" s="3">
        <v>5793.3346224200004</v>
      </c>
      <c r="J226" s="10">
        <v>2885.55</v>
      </c>
      <c r="K226" s="11">
        <v>112.79499999999999</v>
      </c>
      <c r="L226" s="11">
        <v>2.8250999999999999</v>
      </c>
      <c r="M226" s="10">
        <v>155.89824512846468</v>
      </c>
      <c r="N226" s="10">
        <v>450.93507920336384</v>
      </c>
      <c r="O226" s="14">
        <v>0.1</v>
      </c>
      <c r="P226" s="10">
        <v>81.039803516129027</v>
      </c>
    </row>
    <row r="227" spans="1:16" ht="18">
      <c r="A227" s="2">
        <v>43343</v>
      </c>
      <c r="B227" s="3">
        <v>5051.710152919999</v>
      </c>
      <c r="C227" s="3">
        <v>879.19489785000019</v>
      </c>
      <c r="D227" s="6">
        <v>0.80918228058971942</v>
      </c>
      <c r="E227" s="6">
        <v>0.82415955671670726</v>
      </c>
      <c r="F227" s="6">
        <f t="shared" si="3"/>
        <v>0.80924330392637533</v>
      </c>
      <c r="G227" s="3">
        <v>17012.27765570968</v>
      </c>
      <c r="H227" s="3">
        <v>13767.071777419353</v>
      </c>
      <c r="I227" s="3">
        <v>5903.02887586</v>
      </c>
      <c r="J227" s="10">
        <v>2959.57</v>
      </c>
      <c r="K227" s="11">
        <v>107.91</v>
      </c>
      <c r="L227" s="11">
        <v>2.9571999999999998</v>
      </c>
      <c r="M227" s="10">
        <v>167.96649814343863</v>
      </c>
      <c r="N227" s="10">
        <v>445.61902574017722</v>
      </c>
      <c r="O227" s="14">
        <v>0.3</v>
      </c>
      <c r="P227" s="10">
        <v>97.4262211935484</v>
      </c>
    </row>
    <row r="228" spans="1:16" ht="18">
      <c r="A228" s="2">
        <v>43373</v>
      </c>
      <c r="B228" s="3">
        <v>4805.9696326499998</v>
      </c>
      <c r="C228" s="3">
        <v>932.03896727000006</v>
      </c>
      <c r="D228" s="6">
        <v>0.80323041379204907</v>
      </c>
      <c r="E228" s="6">
        <v>0.81991162182647492</v>
      </c>
      <c r="F228" s="6">
        <f t="shared" si="3"/>
        <v>0.79586078350187017</v>
      </c>
      <c r="G228" s="3">
        <v>16977.378762000004</v>
      </c>
      <c r="H228" s="3">
        <v>13511.629963333333</v>
      </c>
      <c r="I228" s="3">
        <v>5700.1075817600004</v>
      </c>
      <c r="J228" s="10">
        <v>3037.8</v>
      </c>
      <c r="K228" s="11">
        <v>108.15</v>
      </c>
      <c r="L228" s="11">
        <v>2.9847000000000001</v>
      </c>
      <c r="M228" s="10">
        <v>139.19718090017625</v>
      </c>
      <c r="N228" s="10">
        <v>440.90844005626838</v>
      </c>
      <c r="O228" s="14">
        <v>0.5</v>
      </c>
      <c r="P228" s="10">
        <v>103.55507816666663</v>
      </c>
    </row>
    <row r="229" spans="1:16" ht="18">
      <c r="A229" s="2">
        <v>43404</v>
      </c>
      <c r="B229" s="3">
        <v>4999.7080561399998</v>
      </c>
      <c r="C229" s="3">
        <v>916.03410416999986</v>
      </c>
      <c r="D229" s="6">
        <v>0.76012075811865243</v>
      </c>
      <c r="E229" s="6">
        <v>0.77471577509430978</v>
      </c>
      <c r="F229" s="6">
        <f t="shared" si="3"/>
        <v>0.8018431541360147</v>
      </c>
      <c r="G229" s="3">
        <v>16977.378762000004</v>
      </c>
      <c r="H229" s="3">
        <v>13613.194935483871</v>
      </c>
      <c r="I229" s="3">
        <v>5819.8608860400009</v>
      </c>
      <c r="J229" s="10">
        <v>3080.48</v>
      </c>
      <c r="K229" s="11">
        <v>104.535</v>
      </c>
      <c r="L229" s="11">
        <v>3.2839999999999998</v>
      </c>
      <c r="M229" s="10">
        <v>161.37338995844036</v>
      </c>
      <c r="N229" s="10">
        <v>450.12793957283782</v>
      </c>
      <c r="O229" s="14">
        <v>0.8</v>
      </c>
      <c r="P229" s="10">
        <v>125.02541841935488</v>
      </c>
    </row>
    <row r="230" spans="1:16" ht="18">
      <c r="A230" s="2">
        <v>43434</v>
      </c>
      <c r="B230" s="3">
        <v>5034.8149809900005</v>
      </c>
      <c r="C230" s="3">
        <v>773.90192166999998</v>
      </c>
      <c r="D230" s="6">
        <v>0.79100867133819075</v>
      </c>
      <c r="E230" s="6">
        <v>0.7677262159204209</v>
      </c>
      <c r="F230" s="6">
        <f t="shared" si="3"/>
        <v>0.81872691593550151</v>
      </c>
      <c r="G230" s="3">
        <v>16963.147059599989</v>
      </c>
      <c r="H230" s="3">
        <v>13888.18507666667</v>
      </c>
      <c r="I230" s="3">
        <v>5689.8558226200003</v>
      </c>
      <c r="J230" s="10">
        <v>3198.13</v>
      </c>
      <c r="K230" s="11">
        <v>96.155000000000001</v>
      </c>
      <c r="L230" s="11">
        <v>4.1292999999999997</v>
      </c>
      <c r="M230" s="10">
        <v>159.84146704628313</v>
      </c>
      <c r="N230" s="10">
        <v>456.66822951698811</v>
      </c>
      <c r="O230" s="14">
        <v>1</v>
      </c>
      <c r="P230" s="10">
        <v>105.45995976666663</v>
      </c>
    </row>
    <row r="231" spans="1:16" ht="18">
      <c r="A231" s="2">
        <v>43465</v>
      </c>
      <c r="B231" s="3">
        <v>4500.3176008500013</v>
      </c>
      <c r="C231" s="3">
        <v>1254.3382746299994</v>
      </c>
      <c r="D231" s="6">
        <v>0.8036233986402066</v>
      </c>
      <c r="E231" s="6">
        <v>0.85013528206928002</v>
      </c>
      <c r="F231" s="6">
        <f t="shared" si="3"/>
        <v>0.76850486595310352</v>
      </c>
      <c r="G231" s="3">
        <v>16953.659257999985</v>
      </c>
      <c r="H231" s="3">
        <v>13028.969635483871</v>
      </c>
      <c r="I231" s="3">
        <v>5768.9473191799998</v>
      </c>
      <c r="J231" s="10">
        <v>3212.48</v>
      </c>
      <c r="K231" s="11">
        <v>98.39</v>
      </c>
      <c r="L231" s="11">
        <v>3.9824999999999999</v>
      </c>
      <c r="M231" s="10">
        <v>154.59615688605979</v>
      </c>
      <c r="N231" s="10">
        <v>470.20266044063123</v>
      </c>
      <c r="O231" s="14">
        <v>0.9</v>
      </c>
      <c r="P231" s="10">
        <v>192.70622970967742</v>
      </c>
    </row>
    <row r="232" spans="1:16" ht="18">
      <c r="A232" s="2">
        <v>43496</v>
      </c>
      <c r="B232" s="3">
        <v>4006.7296773199996</v>
      </c>
      <c r="C232" s="3">
        <v>1630.4499849100005</v>
      </c>
      <c r="D232" s="6">
        <v>0.78312827290085396</v>
      </c>
      <c r="E232" s="6">
        <v>0.89301330147119728</v>
      </c>
      <c r="F232" s="6">
        <f t="shared" si="3"/>
        <v>0.65759700726920167</v>
      </c>
      <c r="G232" s="3">
        <v>16953.659257999985</v>
      </c>
      <c r="H232" s="3">
        <v>11148.675590322584</v>
      </c>
      <c r="I232" s="3">
        <v>5736.0723706999997</v>
      </c>
      <c r="J232" s="10">
        <v>3161.91</v>
      </c>
      <c r="K232" s="11">
        <v>94.925000000000011</v>
      </c>
      <c r="L232" s="11">
        <v>3.0794999999999999</v>
      </c>
      <c r="M232" s="10">
        <v>167.95995323601591</v>
      </c>
      <c r="N232" s="10">
        <v>463.40320393806928</v>
      </c>
      <c r="O232" s="14">
        <v>0.9</v>
      </c>
      <c r="P232" s="10">
        <v>288.956788967742</v>
      </c>
    </row>
    <row r="233" spans="1:16" ht="18">
      <c r="A233" s="2">
        <v>43524</v>
      </c>
      <c r="B233" s="3">
        <v>3696.7667200100004</v>
      </c>
      <c r="C233" s="3">
        <v>1534.54100079</v>
      </c>
      <c r="D233" s="6">
        <v>0.76047786601166367</v>
      </c>
      <c r="E233" s="6">
        <v>0.86089713072282115</v>
      </c>
      <c r="F233" s="6">
        <f t="shared" si="3"/>
        <v>0.54234789602915079</v>
      </c>
      <c r="G233" s="3">
        <v>16953.659257999989</v>
      </c>
      <c r="H233" s="3">
        <v>9194.7814285714285</v>
      </c>
      <c r="I233" s="3">
        <v>5411.608206070001</v>
      </c>
      <c r="J233" s="10">
        <v>3115.15</v>
      </c>
      <c r="K233" s="11">
        <v>89.789999999999992</v>
      </c>
      <c r="L233" s="11">
        <v>2.7170999999999998</v>
      </c>
      <c r="M233" s="10">
        <v>172.99287189019972</v>
      </c>
      <c r="N233" s="10">
        <v>448.6991326596152</v>
      </c>
      <c r="O233" s="14">
        <v>0.9</v>
      </c>
      <c r="P233" s="10">
        <v>307.82680610714272</v>
      </c>
    </row>
    <row r="234" spans="1:16" ht="18">
      <c r="A234" s="2">
        <v>43555</v>
      </c>
      <c r="B234" s="3">
        <v>4263.9976185800006</v>
      </c>
      <c r="C234" s="3">
        <v>1459.0917295099998</v>
      </c>
      <c r="D234" s="6">
        <v>0.74596747664192331</v>
      </c>
      <c r="E234" s="6">
        <v>0.86148599681687232</v>
      </c>
      <c r="F234" s="6">
        <f t="shared" si="3"/>
        <v>0.45791238587540772</v>
      </c>
      <c r="G234" s="3">
        <v>16953.273540838705</v>
      </c>
      <c r="H234" s="3">
        <v>7763.1139354838733</v>
      </c>
      <c r="I234" s="3">
        <v>5918.5295875599986</v>
      </c>
      <c r="J234" s="10">
        <v>3125.34</v>
      </c>
      <c r="K234" s="11">
        <v>85.965000000000003</v>
      </c>
      <c r="L234" s="11">
        <v>2.9350000000000001</v>
      </c>
      <c r="M234" s="10">
        <v>182.8238589315404</v>
      </c>
      <c r="N234" s="10">
        <v>439.02690163987222</v>
      </c>
      <c r="O234" s="14">
        <v>0.8</v>
      </c>
      <c r="P234" s="10">
        <v>266.48528990322586</v>
      </c>
    </row>
    <row r="235" spans="1:16" ht="18">
      <c r="A235" s="2">
        <v>43585</v>
      </c>
      <c r="B235" s="3">
        <v>4577.3338322500003</v>
      </c>
      <c r="C235" s="3">
        <v>1020.38768467</v>
      </c>
      <c r="D235" s="6">
        <v>0.77355833199305757</v>
      </c>
      <c r="E235" s="6">
        <v>0.83697696976885505</v>
      </c>
      <c r="F235" s="6">
        <f t="shared" si="3"/>
        <v>0.44738695705384579</v>
      </c>
      <c r="G235" s="3">
        <v>16953.376669599988</v>
      </c>
      <c r="H235" s="3">
        <v>7584.7196000000004</v>
      </c>
      <c r="I235" s="3">
        <v>5722.6472537999998</v>
      </c>
      <c r="J235" s="10">
        <v>3155.22</v>
      </c>
      <c r="K235" s="11">
        <v>79.63</v>
      </c>
      <c r="L235" s="11">
        <v>2.6459999999999999</v>
      </c>
      <c r="M235" s="10">
        <v>182.03070958017307</v>
      </c>
      <c r="N235" s="10">
        <v>437.2840644687181</v>
      </c>
      <c r="O235" s="14">
        <v>0.8</v>
      </c>
      <c r="P235" s="10">
        <v>193.10077713333334</v>
      </c>
    </row>
    <row r="236" spans="1:16" ht="18">
      <c r="A236" s="2">
        <v>43616</v>
      </c>
      <c r="B236" s="3">
        <v>4916.2479707300008</v>
      </c>
      <c r="C236" s="3">
        <v>958.26212352000005</v>
      </c>
      <c r="D236" s="6">
        <v>0.75534929300490927</v>
      </c>
      <c r="E236" s="6">
        <v>0.78514977487138071</v>
      </c>
      <c r="F236" s="6">
        <f t="shared" si="3"/>
        <v>0.50028790893963659</v>
      </c>
      <c r="G236" s="3">
        <v>16953.44370399999</v>
      </c>
      <c r="H236" s="3">
        <v>8481.6029000000017</v>
      </c>
      <c r="I236" s="3">
        <v>5996.4300884700006</v>
      </c>
      <c r="J236" s="10">
        <v>3310.49</v>
      </c>
      <c r="K236" s="11">
        <v>75.625</v>
      </c>
      <c r="L236" s="11">
        <v>2.6278999999999999</v>
      </c>
      <c r="M236" s="10">
        <v>175.41372585125117</v>
      </c>
      <c r="N236" s="10">
        <v>475.37150731002026</v>
      </c>
      <c r="O236" s="14">
        <v>0.6</v>
      </c>
      <c r="P236" s="10">
        <v>175.26135296774194</v>
      </c>
    </row>
    <row r="237" spans="1:16" ht="18">
      <c r="A237" s="2">
        <v>43646</v>
      </c>
      <c r="B237" s="3">
        <v>5009.9584448999994</v>
      </c>
      <c r="C237" s="3">
        <v>672.20571573999973</v>
      </c>
      <c r="D237" s="6">
        <v>0.80576636664613976</v>
      </c>
      <c r="E237" s="6">
        <v>0.81908366705579294</v>
      </c>
      <c r="F237" s="6">
        <f t="shared" si="3"/>
        <v>0.6478098335114123</v>
      </c>
      <c r="G237" s="3">
        <v>16953.44370399999</v>
      </c>
      <c r="H237" s="3">
        <v>10982.607543333335</v>
      </c>
      <c r="I237" s="3">
        <v>5769.3213825000003</v>
      </c>
      <c r="J237" s="10">
        <v>3256.02</v>
      </c>
      <c r="K237" s="11">
        <v>67.715000000000003</v>
      </c>
      <c r="L237" s="11">
        <v>2.3965000000000001</v>
      </c>
      <c r="M237" s="10">
        <v>180.17158744090816</v>
      </c>
      <c r="N237" s="10">
        <v>489.48476158623617</v>
      </c>
      <c r="O237" s="14">
        <v>0.5</v>
      </c>
      <c r="P237" s="10">
        <v>115.7773541666667</v>
      </c>
    </row>
    <row r="238" spans="1:16" ht="18">
      <c r="A238" s="2">
        <v>43677</v>
      </c>
      <c r="B238" s="3">
        <v>5213.68718782</v>
      </c>
      <c r="C238" s="3">
        <v>736.80074567000008</v>
      </c>
      <c r="D238" s="6">
        <v>0.82451183451953669</v>
      </c>
      <c r="E238" s="6">
        <v>0.76470509235989792</v>
      </c>
      <c r="F238" s="6">
        <f t="shared" si="3"/>
        <v>0.72859864499820992</v>
      </c>
      <c r="G238" s="3">
        <v>16959.038902064505</v>
      </c>
      <c r="H238" s="3">
        <v>12356.332764516128</v>
      </c>
      <c r="I238" s="3">
        <v>6029.55676821</v>
      </c>
      <c r="J238" s="10">
        <v>3208.11</v>
      </c>
      <c r="K238" s="11">
        <v>68.935000000000002</v>
      </c>
      <c r="L238" s="11">
        <v>2.36</v>
      </c>
      <c r="M238" s="10">
        <v>173.48525557138043</v>
      </c>
      <c r="N238" s="10">
        <v>502.32100159522099</v>
      </c>
      <c r="O238" s="14">
        <v>0.3</v>
      </c>
      <c r="P238" s="10">
        <v>125.04252641935486</v>
      </c>
    </row>
    <row r="239" spans="1:16" ht="18">
      <c r="A239" s="2">
        <v>43708</v>
      </c>
      <c r="B239" s="3">
        <v>5103.6664554100007</v>
      </c>
      <c r="C239" s="3">
        <v>913.95617570999991</v>
      </c>
      <c r="D239" s="6">
        <v>0.79759682273679178</v>
      </c>
      <c r="E239" s="6">
        <v>0.77223446317137823</v>
      </c>
      <c r="F239" s="6">
        <f t="shared" si="3"/>
        <v>0.74134494861493283</v>
      </c>
      <c r="G239" s="3">
        <v>16918.173853129043</v>
      </c>
      <c r="H239" s="3">
        <v>12542.20272580645</v>
      </c>
      <c r="I239" s="3">
        <v>6136.5854352300003</v>
      </c>
      <c r="J239" s="10">
        <v>3412.65</v>
      </c>
      <c r="K239" s="11">
        <v>62.989999999999995</v>
      </c>
      <c r="L239" s="11">
        <v>2.2242999999999999</v>
      </c>
      <c r="M239" s="10">
        <v>174.7247147560584</v>
      </c>
      <c r="N239" s="10">
        <v>506.25468120370653</v>
      </c>
      <c r="O239" s="14">
        <v>0.2</v>
      </c>
      <c r="P239" s="10">
        <v>150.82595041935483</v>
      </c>
    </row>
    <row r="240" spans="1:16" ht="18">
      <c r="A240" s="2">
        <v>43738</v>
      </c>
      <c r="B240" s="3">
        <v>4586.6014805200002</v>
      </c>
      <c r="C240" s="3">
        <v>1234.4774808</v>
      </c>
      <c r="D240" s="6">
        <v>0.80833604637392198</v>
      </c>
      <c r="E240" s="6">
        <v>0.72467230637680424</v>
      </c>
      <c r="F240" s="6">
        <f t="shared" si="3"/>
        <v>0.67860201103555284</v>
      </c>
      <c r="G240" s="3">
        <v>16910.572869000011</v>
      </c>
      <c r="H240" s="3">
        <v>11475.548756666665</v>
      </c>
      <c r="I240" s="3">
        <v>5937.2262039699999</v>
      </c>
      <c r="J240" s="10">
        <v>3399.62</v>
      </c>
      <c r="K240" s="11">
        <v>63.66</v>
      </c>
      <c r="L240" s="11">
        <v>2.58</v>
      </c>
      <c r="M240" s="10">
        <v>168.95932365088356</v>
      </c>
      <c r="N240" s="10">
        <v>449.2928600467377</v>
      </c>
      <c r="O240" s="14">
        <v>0.2</v>
      </c>
      <c r="P240" s="10">
        <v>288.06993463333333</v>
      </c>
    </row>
    <row r="241" spans="1:16" ht="18">
      <c r="A241" s="2">
        <v>43769</v>
      </c>
      <c r="B241" s="3">
        <v>4439.39944543</v>
      </c>
      <c r="C241" s="3">
        <v>1495.682566</v>
      </c>
      <c r="D241" s="6">
        <v>0.77629841178356418</v>
      </c>
      <c r="E241" s="6">
        <v>0.77807780423373851</v>
      </c>
      <c r="F241" s="6">
        <f t="shared" si="3"/>
        <v>0.67549076071175651</v>
      </c>
      <c r="G241" s="3">
        <v>16902.809038354848</v>
      </c>
      <c r="H241" s="3">
        <v>11417.691335483869</v>
      </c>
      <c r="I241" s="3">
        <v>5981.0730289699995</v>
      </c>
      <c r="J241" s="10">
        <v>3437.73</v>
      </c>
      <c r="K241" s="11">
        <v>68.319999999999993</v>
      </c>
      <c r="L241" s="11">
        <v>2.3313000000000001</v>
      </c>
      <c r="M241" s="10">
        <v>165.60807820546376</v>
      </c>
      <c r="N241" s="10">
        <v>424.94009887507991</v>
      </c>
      <c r="O241" s="14">
        <v>0.4</v>
      </c>
      <c r="P241" s="10">
        <v>327.47150777419353</v>
      </c>
    </row>
    <row r="242" spans="1:16" ht="18">
      <c r="A242" s="2">
        <v>43799</v>
      </c>
      <c r="B242" s="3">
        <v>4421.7509184800001</v>
      </c>
      <c r="C242" s="3">
        <v>1356.9308806299998</v>
      </c>
      <c r="D242" s="6">
        <v>0.79861567721750681</v>
      </c>
      <c r="E242" s="6">
        <v>0.81988926114230287</v>
      </c>
      <c r="F242" s="6">
        <f t="shared" si="3"/>
        <v>0.70342807069280511</v>
      </c>
      <c r="G242" s="3">
        <v>16900.945719000007</v>
      </c>
      <c r="H242" s="3">
        <v>11888.599639999999</v>
      </c>
      <c r="I242" s="3">
        <v>5869.7083216300016</v>
      </c>
      <c r="J242" s="10">
        <v>3411.42</v>
      </c>
      <c r="K242" s="11">
        <v>70.305000000000007</v>
      </c>
      <c r="L242" s="11">
        <v>2.6505000000000001</v>
      </c>
      <c r="M242" s="10">
        <v>155.24578185651191</v>
      </c>
      <c r="N242" s="10">
        <v>430.05828095238587</v>
      </c>
      <c r="O242" s="14">
        <v>0.6</v>
      </c>
      <c r="P242" s="10">
        <v>236.46123283333333</v>
      </c>
    </row>
    <row r="243" spans="1:16" ht="18">
      <c r="A243" s="2">
        <v>43830</v>
      </c>
      <c r="B243" s="3">
        <v>4200.8567257900004</v>
      </c>
      <c r="C243" s="3">
        <v>1767.6799472100004</v>
      </c>
      <c r="D243" s="6">
        <v>0.80540131489409661</v>
      </c>
      <c r="E243" s="6">
        <v>0.800623192344042</v>
      </c>
      <c r="F243" s="6">
        <f t="shared" si="3"/>
        <v>0.67310708970698463</v>
      </c>
      <c r="G243" s="3">
        <v>16900.905857032252</v>
      </c>
      <c r="H243" s="3">
        <v>11376.11955483871</v>
      </c>
      <c r="I243" s="3">
        <v>6091.8458112099997</v>
      </c>
      <c r="J243" s="10">
        <v>3383</v>
      </c>
      <c r="K243" s="11">
        <v>71.105000000000004</v>
      </c>
      <c r="L243" s="11">
        <v>2.2425000000000002</v>
      </c>
      <c r="M243" s="10">
        <v>149.25529260128667</v>
      </c>
      <c r="N243" s="10">
        <v>387.01970936088605</v>
      </c>
      <c r="O243" s="14">
        <v>0.7</v>
      </c>
      <c r="P243" s="10">
        <v>312.95502693548383</v>
      </c>
    </row>
    <row r="244" spans="1:16" ht="18">
      <c r="A244" s="2">
        <v>43861</v>
      </c>
      <c r="B244" s="3">
        <v>4027.87516701</v>
      </c>
      <c r="C244" s="3">
        <v>1872.6485256000003</v>
      </c>
      <c r="D244" s="6">
        <v>0.75639171102925851</v>
      </c>
      <c r="E244" s="6">
        <v>0.83366668582073733</v>
      </c>
      <c r="F244" s="6">
        <f t="shared" si="3"/>
        <v>0.60243098611905865</v>
      </c>
      <c r="G244" s="3">
        <v>16900.891991999993</v>
      </c>
      <c r="H244" s="3">
        <v>10181.621029032258</v>
      </c>
      <c r="I244" s="3">
        <v>6009.6251381000002</v>
      </c>
      <c r="J244" s="10">
        <v>3317.37</v>
      </c>
      <c r="K244" s="11">
        <v>75.875</v>
      </c>
      <c r="L244" s="11">
        <v>2.0305</v>
      </c>
      <c r="M244" s="10">
        <v>153.93100114924138</v>
      </c>
      <c r="N244" s="10">
        <v>414.49806422926611</v>
      </c>
      <c r="O244" s="14">
        <v>0.6</v>
      </c>
      <c r="P244" s="10">
        <v>327.52392674193538</v>
      </c>
    </row>
    <row r="245" spans="1:16" ht="18">
      <c r="A245" s="2">
        <v>43890</v>
      </c>
      <c r="B245" s="3">
        <v>3556.2401960900002</v>
      </c>
      <c r="C245" s="3">
        <v>2234.0409119100004</v>
      </c>
      <c r="D245" s="6">
        <v>0.70580079253170547</v>
      </c>
      <c r="E245" s="6">
        <v>0.8375310066429279</v>
      </c>
      <c r="F245" s="6">
        <f t="shared" si="3"/>
        <v>0.47914790507057425</v>
      </c>
      <c r="G245" s="3">
        <v>16902.965532000013</v>
      </c>
      <c r="H245" s="3">
        <v>8099.0205241379308</v>
      </c>
      <c r="I245" s="3">
        <v>5887.3832613799996</v>
      </c>
      <c r="J245" s="10">
        <v>3408.24</v>
      </c>
      <c r="K245" s="11">
        <v>73.814999999999998</v>
      </c>
      <c r="L245" s="11">
        <v>1.9157999999999999</v>
      </c>
      <c r="M245" s="10">
        <v>169.76668630039023</v>
      </c>
      <c r="N245" s="10">
        <v>394.24588441925965</v>
      </c>
      <c r="O245" s="14">
        <v>0.6</v>
      </c>
      <c r="P245" s="10">
        <v>434.33820948275854</v>
      </c>
    </row>
    <row r="246" spans="1:16" ht="18">
      <c r="A246" s="2">
        <v>43921</v>
      </c>
      <c r="B246" s="3">
        <v>3789.5181236299995</v>
      </c>
      <c r="C246" s="3">
        <v>2060.7779198799999</v>
      </c>
      <c r="D246" s="6">
        <v>0.70286792678871202</v>
      </c>
      <c r="E246" s="6">
        <v>0.84461891406854539</v>
      </c>
      <c r="F246" s="6">
        <f t="shared" si="3"/>
        <v>0.38638394903652051</v>
      </c>
      <c r="G246" s="3">
        <v>16907.181774967736</v>
      </c>
      <c r="H246" s="3">
        <v>6532.6636612903221</v>
      </c>
      <c r="I246" s="3">
        <v>5886.2713834699998</v>
      </c>
      <c r="J246" s="10">
        <v>3870.01</v>
      </c>
      <c r="K246" s="11">
        <v>67.314999999999998</v>
      </c>
      <c r="L246" s="11">
        <v>1.7927</v>
      </c>
      <c r="M246" s="10">
        <v>168.40133298913275</v>
      </c>
      <c r="N246" s="10">
        <v>396.44460395994872</v>
      </c>
      <c r="O246" s="14">
        <v>0.5</v>
      </c>
      <c r="P246" s="10">
        <v>342.61256561290321</v>
      </c>
    </row>
    <row r="247" spans="1:16" ht="18">
      <c r="A247" s="2">
        <v>43951</v>
      </c>
      <c r="B247" s="3">
        <v>3463.9501053099998</v>
      </c>
      <c r="C247" s="3">
        <v>1470.8263748100001</v>
      </c>
      <c r="D247" s="6">
        <v>0.71477954705820623</v>
      </c>
      <c r="E247" s="6">
        <v>0.85930878495823282</v>
      </c>
      <c r="F247" s="6">
        <f t="shared" si="3"/>
        <v>0.33500535635748635</v>
      </c>
      <c r="G247" s="3">
        <v>16985.811546033325</v>
      </c>
      <c r="H247" s="3">
        <v>5690.3378499999999</v>
      </c>
      <c r="I247" s="3">
        <v>5095.9418162000002</v>
      </c>
      <c r="J247" s="10">
        <v>3986.56</v>
      </c>
      <c r="K247" s="11">
        <v>57.564999999999998</v>
      </c>
      <c r="L247" s="11">
        <v>1.7385999999999999</v>
      </c>
      <c r="M247" s="10">
        <v>170.19827409429342</v>
      </c>
      <c r="N247" s="10">
        <v>403.16006121430775</v>
      </c>
      <c r="O247" s="14">
        <v>0.3</v>
      </c>
      <c r="P247" s="10">
        <v>254.96179759999998</v>
      </c>
    </row>
    <row r="248" spans="1:16" ht="18">
      <c r="A248" s="2">
        <v>43982</v>
      </c>
      <c r="B248" s="3">
        <v>3391.7002764700005</v>
      </c>
      <c r="C248" s="3">
        <v>1968.2455140399995</v>
      </c>
      <c r="D248" s="6">
        <v>0.71827884153904265</v>
      </c>
      <c r="E248" s="6">
        <v>0.78130166856294336</v>
      </c>
      <c r="F248" s="6">
        <f t="shared" si="3"/>
        <v>0.32881966081219416</v>
      </c>
      <c r="G248" s="3">
        <v>16990.394896999995</v>
      </c>
      <c r="H248" s="3">
        <v>5586.7758870967727</v>
      </c>
      <c r="I248" s="3">
        <v>5533.8115338300004</v>
      </c>
      <c r="J248" s="10">
        <v>3863.34</v>
      </c>
      <c r="K248" s="11">
        <v>54.954999999999998</v>
      </c>
      <c r="L248" s="11">
        <v>1.7524999999999999</v>
      </c>
      <c r="M248" s="10">
        <v>171.4454940743218</v>
      </c>
      <c r="N248" s="10">
        <v>407.59717999323078</v>
      </c>
      <c r="O248" s="14">
        <v>0</v>
      </c>
      <c r="P248" s="10">
        <v>365.7974037096775</v>
      </c>
    </row>
    <row r="249" spans="1:16" ht="18">
      <c r="A249" s="2">
        <v>44012</v>
      </c>
      <c r="B249" s="3">
        <v>3440.49022074</v>
      </c>
      <c r="C249" s="3">
        <v>1824.04380717</v>
      </c>
      <c r="D249" s="6">
        <v>0.75542305030718948</v>
      </c>
      <c r="E249" s="6">
        <v>0.77936565485341114</v>
      </c>
      <c r="F249" s="6">
        <f t="shared" si="3"/>
        <v>0.41005652230504963</v>
      </c>
      <c r="G249" s="3">
        <v>16974.245072866674</v>
      </c>
      <c r="H249" s="3">
        <v>6960.3999033333321</v>
      </c>
      <c r="I249" s="3">
        <v>5446.1431651800003</v>
      </c>
      <c r="J249" s="10">
        <v>3693</v>
      </c>
      <c r="K249" s="11">
        <v>54.510000000000005</v>
      </c>
      <c r="L249" s="11">
        <v>1.6128</v>
      </c>
      <c r="M249" s="10">
        <v>163.38258526611926</v>
      </c>
      <c r="N249" s="10">
        <v>377.35961664151176</v>
      </c>
      <c r="O249" s="14">
        <v>-0.2</v>
      </c>
      <c r="P249" s="10">
        <v>309.71255326666665</v>
      </c>
    </row>
    <row r="250" spans="1:16" ht="18">
      <c r="A250" s="2">
        <v>44043</v>
      </c>
      <c r="B250" s="3">
        <v>4675.3678448700002</v>
      </c>
      <c r="C250" s="3">
        <v>957.1561288800001</v>
      </c>
      <c r="D250" s="6">
        <v>0.80630648274043626</v>
      </c>
      <c r="E250" s="6">
        <v>0.82309495944509137</v>
      </c>
      <c r="F250" s="6">
        <f t="shared" si="3"/>
        <v>0.5624693344513132</v>
      </c>
      <c r="G250" s="3">
        <v>16969.329909000007</v>
      </c>
      <c r="H250" s="3">
        <v>9544.7276999999976</v>
      </c>
      <c r="I250" s="3">
        <v>5788.8971093499995</v>
      </c>
      <c r="J250" s="10">
        <v>3660.6</v>
      </c>
      <c r="K250" s="11">
        <v>54.08</v>
      </c>
      <c r="L250" s="11">
        <v>1.7352000000000001</v>
      </c>
      <c r="M250" s="10">
        <v>180.89025549496671</v>
      </c>
      <c r="N250" s="10">
        <v>397.847280144813</v>
      </c>
      <c r="O250" s="14">
        <v>-0.4</v>
      </c>
      <c r="P250" s="10">
        <v>159.22810558064515</v>
      </c>
    </row>
    <row r="251" spans="1:16" ht="18">
      <c r="A251" s="2">
        <v>44074</v>
      </c>
      <c r="B251" s="3">
        <v>4701.8249431500008</v>
      </c>
      <c r="C251" s="3">
        <v>1068.2923315200003</v>
      </c>
      <c r="D251" s="6">
        <v>0.83201378505033885</v>
      </c>
      <c r="E251" s="6">
        <v>0.76191890808685103</v>
      </c>
      <c r="F251" s="6">
        <f t="shared" si="3"/>
        <v>0.63058884313715458</v>
      </c>
      <c r="G251" s="3">
        <v>16969.329909000007</v>
      </c>
      <c r="H251" s="3">
        <v>10700.670116129031</v>
      </c>
      <c r="I251" s="3">
        <v>5863.4705354599992</v>
      </c>
      <c r="J251" s="10">
        <v>3788.1</v>
      </c>
      <c r="K251" s="11">
        <v>53.760000000000005</v>
      </c>
      <c r="L251" s="11">
        <v>2.3016999999999999</v>
      </c>
      <c r="M251" s="10">
        <v>177.70083381622226</v>
      </c>
      <c r="N251" s="10">
        <v>435.56902443629582</v>
      </c>
      <c r="O251" s="14">
        <v>-0.5</v>
      </c>
      <c r="P251" s="10">
        <v>160.4995741612903</v>
      </c>
    </row>
    <row r="252" spans="1:16" ht="18">
      <c r="A252" s="2">
        <v>44104</v>
      </c>
      <c r="B252" s="3">
        <v>4474.7277798999994</v>
      </c>
      <c r="C252" s="3">
        <v>1312.5814438299999</v>
      </c>
      <c r="D252" s="6">
        <v>0.78727377067707038</v>
      </c>
      <c r="E252" s="6">
        <v>0.75902396984553877</v>
      </c>
      <c r="F252" s="6">
        <f t="shared" si="3"/>
        <v>0.67123067957006277</v>
      </c>
      <c r="G252" s="3">
        <v>16969.329909000007</v>
      </c>
      <c r="H252" s="3">
        <v>11390.334846666667</v>
      </c>
      <c r="I252" s="3">
        <v>5779.2518812599992</v>
      </c>
      <c r="J252" s="10">
        <v>3749.86</v>
      </c>
      <c r="K252" s="11">
        <v>56.034999999999997</v>
      </c>
      <c r="L252" s="11">
        <v>1.9186000000000001</v>
      </c>
      <c r="M252" s="10">
        <v>169.83857881924328</v>
      </c>
      <c r="N252" s="10">
        <v>446.47934100649758</v>
      </c>
      <c r="O252" s="14">
        <v>-0.8</v>
      </c>
      <c r="P252" s="10">
        <v>152.93819760000002</v>
      </c>
    </row>
    <row r="253" spans="1:16" ht="18">
      <c r="A253" s="2">
        <v>44135</v>
      </c>
      <c r="B253" s="3">
        <v>4665.8203673000007</v>
      </c>
      <c r="C253" s="3">
        <v>1385.7854399299999</v>
      </c>
      <c r="D253" s="6">
        <v>0.73981278710253384</v>
      </c>
      <c r="E253" s="6">
        <v>0.78787875067208646</v>
      </c>
      <c r="F253" s="6">
        <f t="shared" si="3"/>
        <v>0.68437487642824435</v>
      </c>
      <c r="G253" s="3">
        <v>16949.595089903214</v>
      </c>
      <c r="H253" s="3">
        <v>11599.877045161289</v>
      </c>
      <c r="I253" s="3">
        <v>6016.7829295599995</v>
      </c>
      <c r="J253" s="10">
        <v>3833.06</v>
      </c>
      <c r="K253" s="11">
        <v>59.72</v>
      </c>
      <c r="L253" s="11">
        <v>2.2473000000000001</v>
      </c>
      <c r="M253" s="10">
        <v>178.40964494944146</v>
      </c>
      <c r="N253" s="10">
        <v>468.39194107579539</v>
      </c>
      <c r="O253" s="14">
        <v>-1.1000000000000001</v>
      </c>
      <c r="P253" s="10">
        <v>202.58981980645163</v>
      </c>
    </row>
    <row r="254" spans="1:16" ht="18">
      <c r="A254" s="2">
        <v>44165</v>
      </c>
      <c r="B254" s="3">
        <v>4840.019779870001</v>
      </c>
      <c r="C254" s="3">
        <v>1175.9351146199999</v>
      </c>
      <c r="D254" s="6">
        <v>0.71022248358374862</v>
      </c>
      <c r="E254" s="6">
        <v>0.76748347973314479</v>
      </c>
      <c r="F254" s="6">
        <f t="shared" si="3"/>
        <v>0.73140254200549237</v>
      </c>
      <c r="G254" s="3">
        <v>16946.671412999989</v>
      </c>
      <c r="H254" s="3">
        <v>12394.838550000002</v>
      </c>
      <c r="I254" s="3">
        <v>5745.5475222900004</v>
      </c>
      <c r="J254" s="10">
        <v>3680.67</v>
      </c>
      <c r="K254" s="11">
        <v>66.915000000000006</v>
      </c>
      <c r="L254" s="11">
        <v>2.5880999999999998</v>
      </c>
      <c r="M254" s="10">
        <v>171.67220457342211</v>
      </c>
      <c r="N254" s="10">
        <v>453.85872446541515</v>
      </c>
      <c r="O254" s="14">
        <v>-1.2</v>
      </c>
      <c r="P254" s="10">
        <v>184.05630789999998</v>
      </c>
    </row>
    <row r="255" spans="1:16" ht="18">
      <c r="A255" s="2">
        <v>44196</v>
      </c>
      <c r="B255" s="3">
        <v>4809.8182310899992</v>
      </c>
      <c r="C255" s="3">
        <v>1229.1688955099999</v>
      </c>
      <c r="D255" s="6">
        <v>0.77338012629554997</v>
      </c>
      <c r="E255" s="6">
        <v>0.79052729111302655</v>
      </c>
      <c r="F255" s="6">
        <f t="shared" si="3"/>
        <v>0.7425368488162335</v>
      </c>
      <c r="G255" s="3">
        <v>16928.447929129026</v>
      </c>
      <c r="H255" s="3">
        <v>12569.996380645161</v>
      </c>
      <c r="I255" s="3">
        <v>5994.319884489998</v>
      </c>
      <c r="J255" s="10">
        <v>3468.5</v>
      </c>
      <c r="K255" s="11">
        <v>84.105000000000004</v>
      </c>
      <c r="L255" s="11">
        <v>2.5387</v>
      </c>
      <c r="M255" s="10">
        <v>174.92785265916245</v>
      </c>
      <c r="N255" s="10">
        <v>415.91224607635201</v>
      </c>
      <c r="O255" s="14">
        <v>-1.1000000000000001</v>
      </c>
      <c r="P255" s="10">
        <v>165.51120661290324</v>
      </c>
    </row>
    <row r="256" spans="1:16" ht="18">
      <c r="A256" s="2">
        <v>44227</v>
      </c>
      <c r="B256" s="3">
        <v>4590.3824648199998</v>
      </c>
      <c r="C256" s="3">
        <v>1242.0675281900001</v>
      </c>
      <c r="D256" s="6">
        <v>0.77881987736670533</v>
      </c>
      <c r="E256" s="6">
        <v>0.82321260254259832</v>
      </c>
      <c r="F256" s="6">
        <f t="shared" si="3"/>
        <v>0.68338069894543696</v>
      </c>
      <c r="G256" s="3">
        <v>16924.074292999998</v>
      </c>
      <c r="H256" s="3">
        <v>11565.58571935484</v>
      </c>
      <c r="I256" s="3">
        <v>5833.1309494699999</v>
      </c>
      <c r="J256" s="10">
        <v>3494.53</v>
      </c>
      <c r="K256" s="11">
        <v>86.84</v>
      </c>
      <c r="L256" s="11">
        <v>2.6655000000000002</v>
      </c>
      <c r="M256" s="10">
        <v>170.55006257005408</v>
      </c>
      <c r="N256" s="10">
        <v>422.16575053440863</v>
      </c>
      <c r="O256" s="14">
        <v>-0.9</v>
      </c>
      <c r="P256" s="10">
        <v>182.84381254838712</v>
      </c>
    </row>
    <row r="257" spans="1:16" ht="18">
      <c r="A257" s="2">
        <v>44255</v>
      </c>
      <c r="B257" s="3">
        <v>4006.6336379599989</v>
      </c>
      <c r="C257" s="3">
        <v>1549.5601012499999</v>
      </c>
      <c r="D257" s="6">
        <v>0.71671164527483777</v>
      </c>
      <c r="E257" s="6">
        <v>0.81975276473889269</v>
      </c>
      <c r="F257" s="6">
        <f t="shared" si="3"/>
        <v>0.57151041112738621</v>
      </c>
      <c r="G257" s="3">
        <v>16924.074292999994</v>
      </c>
      <c r="H257" s="3">
        <v>9672.2846571428545</v>
      </c>
      <c r="I257" s="3">
        <v>5568.9306076900002</v>
      </c>
      <c r="J257" s="10">
        <v>3552.43</v>
      </c>
      <c r="K257" s="11">
        <v>84.75</v>
      </c>
      <c r="L257" s="11">
        <v>5.0651000000000002</v>
      </c>
      <c r="M257" s="10">
        <v>165.80728510075221</v>
      </c>
      <c r="N257" s="10">
        <v>416.98225202708812</v>
      </c>
      <c r="O257" s="14">
        <v>-0.8</v>
      </c>
      <c r="P257" s="10">
        <v>270.93468874074068</v>
      </c>
    </row>
    <row r="258" spans="1:16" ht="18">
      <c r="A258" s="2">
        <v>44286</v>
      </c>
      <c r="B258" s="3">
        <v>4841.0011265099993</v>
      </c>
      <c r="C258" s="3">
        <v>1116.9297053099999</v>
      </c>
      <c r="D258" s="6">
        <v>0.73865131334116996</v>
      </c>
      <c r="E258" s="6">
        <v>0.87469549528469726</v>
      </c>
      <c r="F258" s="6">
        <f t="shared" si="3"/>
        <v>0.54996840939209402</v>
      </c>
      <c r="G258" s="3">
        <v>16924.074292999998</v>
      </c>
      <c r="H258" s="3">
        <v>9307.7062193548372</v>
      </c>
      <c r="I258" s="3">
        <v>6107.0270463700008</v>
      </c>
      <c r="J258" s="10">
        <v>3617</v>
      </c>
      <c r="K258" s="11">
        <v>92.789999999999992</v>
      </c>
      <c r="L258" s="11">
        <v>2.5644999999999998</v>
      </c>
      <c r="M258" s="10">
        <v>186.08110014819303</v>
      </c>
      <c r="N258" s="10">
        <v>415.31367007150885</v>
      </c>
      <c r="O258" s="14">
        <v>-0.7</v>
      </c>
      <c r="P258" s="10">
        <v>168.32130177419356</v>
      </c>
    </row>
    <row r="259" spans="1:16" ht="18">
      <c r="A259" s="2">
        <v>44316</v>
      </c>
      <c r="B259" s="3">
        <v>4778.2515574200006</v>
      </c>
      <c r="C259" s="3">
        <v>948.43637330999979</v>
      </c>
      <c r="D259" s="6">
        <v>0.73987336908001433</v>
      </c>
      <c r="E259" s="6">
        <v>0.85970203907904974</v>
      </c>
      <c r="F259" s="6">
        <f t="shared" si="3"/>
        <v>0.60315938250295431</v>
      </c>
      <c r="G259" s="3">
        <v>16924.074292999994</v>
      </c>
      <c r="H259" s="3">
        <v>10207.914199999999</v>
      </c>
      <c r="I259" s="3">
        <v>5883.8978748400004</v>
      </c>
      <c r="J259" s="10">
        <v>3651.85</v>
      </c>
      <c r="K259" s="11">
        <v>90.674999999999997</v>
      </c>
      <c r="L259" s="11">
        <v>2.61</v>
      </c>
      <c r="M259" s="10">
        <v>185.13589764387595</v>
      </c>
      <c r="N259" s="10">
        <v>445.58989945904938</v>
      </c>
      <c r="O259" s="14">
        <v>-0.5</v>
      </c>
      <c r="P259" s="10">
        <v>164.26322893333335</v>
      </c>
    </row>
    <row r="260" spans="1:16" ht="18">
      <c r="A260" s="2">
        <v>44347</v>
      </c>
      <c r="B260" s="3">
        <v>5154.0303147799996</v>
      </c>
      <c r="C260" s="3">
        <v>794.60920390999979</v>
      </c>
      <c r="D260" s="6">
        <v>0.79041686601120398</v>
      </c>
      <c r="E260" s="6">
        <v>0.82711078854710474</v>
      </c>
      <c r="F260" s="6">
        <f t="shared" ref="F260:F315" si="4">H260/G260</f>
        <v>0.74190410913544924</v>
      </c>
      <c r="G260" s="3">
        <v>16924.074292999998</v>
      </c>
      <c r="H260" s="3">
        <v>12556.040261290322</v>
      </c>
      <c r="I260" s="3">
        <v>5897.6753879000007</v>
      </c>
      <c r="J260" s="10">
        <v>3741.96</v>
      </c>
      <c r="K260" s="11">
        <v>103.17500000000001</v>
      </c>
      <c r="L260" s="11">
        <v>2.8883999999999999</v>
      </c>
      <c r="M260" s="10">
        <v>177.38062576908251</v>
      </c>
      <c r="N260" s="10">
        <v>439.23974472559109</v>
      </c>
      <c r="O260" s="14">
        <v>-0.4</v>
      </c>
      <c r="P260" s="10">
        <v>100.99859790322581</v>
      </c>
    </row>
    <row r="261" spans="1:16" ht="18">
      <c r="A261" s="2">
        <v>44377</v>
      </c>
      <c r="B261" s="3">
        <v>5109.6614928399995</v>
      </c>
      <c r="C261" s="3">
        <v>809.42962466999984</v>
      </c>
      <c r="D261" s="6">
        <v>0.8168270687435254</v>
      </c>
      <c r="E261" s="6">
        <v>0.83684198393309372</v>
      </c>
      <c r="F261" s="6">
        <f t="shared" si="4"/>
        <v>0.83349309402669403</v>
      </c>
      <c r="G261" s="3">
        <v>16885.826050466654</v>
      </c>
      <c r="H261" s="3">
        <v>14074.219400000002</v>
      </c>
      <c r="I261" s="3">
        <v>5897.548115210001</v>
      </c>
      <c r="J261" s="10">
        <v>3693</v>
      </c>
      <c r="K261" s="11">
        <v>121.44499999999999</v>
      </c>
      <c r="L261" s="11">
        <v>3.2317999999999998</v>
      </c>
      <c r="M261" s="10">
        <v>195.40274272837388</v>
      </c>
      <c r="N261" s="10">
        <v>445.01540321843339</v>
      </c>
      <c r="O261" s="14">
        <v>-0.3</v>
      </c>
      <c r="P261" s="10">
        <v>90.668559700000003</v>
      </c>
    </row>
    <row r="262" spans="1:16" ht="18">
      <c r="A262" s="2">
        <v>44408</v>
      </c>
      <c r="B262" s="3">
        <v>5350.0558139999994</v>
      </c>
      <c r="C262" s="3">
        <v>915.35525099000017</v>
      </c>
      <c r="D262" s="6">
        <v>0.82213361507055227</v>
      </c>
      <c r="E262" s="6">
        <v>0.84248843588456768</v>
      </c>
      <c r="F262" s="6">
        <f t="shared" si="4"/>
        <v>0.84753643886795638</v>
      </c>
      <c r="G262" s="3">
        <v>16861.125001064505</v>
      </c>
      <c r="H262" s="3">
        <v>14290.417838709678</v>
      </c>
      <c r="I262" s="3">
        <v>6251.9320197299994</v>
      </c>
      <c r="J262" s="10">
        <v>3832.24</v>
      </c>
      <c r="K262" s="11">
        <v>137.15</v>
      </c>
      <c r="L262" s="11">
        <v>3.8035999999999999</v>
      </c>
      <c r="M262" s="10">
        <v>198.50390123397236</v>
      </c>
      <c r="N262" s="10">
        <v>483.03468985620208</v>
      </c>
      <c r="O262" s="14">
        <v>-0.3</v>
      </c>
      <c r="P262" s="10">
        <v>91.875033516129022</v>
      </c>
    </row>
    <row r="263" spans="1:16" ht="18">
      <c r="A263" s="2">
        <v>44439</v>
      </c>
      <c r="B263" s="3">
        <v>5369.2131377899987</v>
      </c>
      <c r="C263" s="3">
        <v>889.6782047600002</v>
      </c>
      <c r="D263" s="6">
        <v>0.84183025435975878</v>
      </c>
      <c r="E263" s="6">
        <v>0.85246043575898289</v>
      </c>
      <c r="F263" s="6">
        <f t="shared" si="4"/>
        <v>0.85902522299917261</v>
      </c>
      <c r="G263" s="3">
        <v>16845.272746354847</v>
      </c>
      <c r="H263" s="3">
        <v>14470.514177419358</v>
      </c>
      <c r="I263" s="3">
        <v>6231.9972674299997</v>
      </c>
      <c r="J263" s="10">
        <v>3887.68</v>
      </c>
      <c r="K263" s="11">
        <v>153.75</v>
      </c>
      <c r="L263" s="11">
        <v>4.0486000000000004</v>
      </c>
      <c r="M263" s="10">
        <v>204.14039280566504</v>
      </c>
      <c r="N263" s="10">
        <v>522.72905256735396</v>
      </c>
      <c r="O263" s="14">
        <v>-0.4</v>
      </c>
      <c r="P263" s="10">
        <v>94.080470451612868</v>
      </c>
    </row>
    <row r="264" spans="1:16" ht="18">
      <c r="A264" s="2">
        <v>44469</v>
      </c>
      <c r="B264" s="3">
        <v>5516.9313092199991</v>
      </c>
      <c r="C264" s="3">
        <v>862.20940423000002</v>
      </c>
      <c r="D264" s="6">
        <v>0.80004743059662431</v>
      </c>
      <c r="E264" s="6">
        <v>0.80125303735183984</v>
      </c>
      <c r="F264" s="6">
        <f t="shared" si="4"/>
        <v>0.85393204103360965</v>
      </c>
      <c r="G264" s="3">
        <v>16842.734346000008</v>
      </c>
      <c r="H264" s="3">
        <v>14382.550516666666</v>
      </c>
      <c r="I264" s="3">
        <v>6185.261169039999</v>
      </c>
      <c r="J264" s="10">
        <v>3820.28</v>
      </c>
      <c r="K264" s="11">
        <v>165.871375689145</v>
      </c>
      <c r="L264" s="11">
        <v>5.1111000000000004</v>
      </c>
      <c r="M264" s="10">
        <v>197.05998732921273</v>
      </c>
      <c r="N264" s="10">
        <v>564.51422100781451</v>
      </c>
      <c r="O264" s="14">
        <v>-0.6</v>
      </c>
      <c r="P264" s="10">
        <v>109.12006716666664</v>
      </c>
    </row>
    <row r="265" spans="1:16" ht="18">
      <c r="A265" s="2">
        <v>44500</v>
      </c>
      <c r="B265" s="3">
        <v>5599.077564109999</v>
      </c>
      <c r="C265" s="3">
        <v>918.96249168000008</v>
      </c>
      <c r="D265" s="6">
        <v>0.78430456299478957</v>
      </c>
      <c r="E265" s="6">
        <v>0.83223353003263534</v>
      </c>
      <c r="F265" s="6">
        <f t="shared" si="4"/>
        <v>0.84089261736206733</v>
      </c>
      <c r="G265" s="3">
        <v>16842.734346000008</v>
      </c>
      <c r="H265" s="3">
        <v>14162.930967741935</v>
      </c>
      <c r="I265" s="3">
        <v>6365.6350682200009</v>
      </c>
      <c r="J265" s="10">
        <v>3771.68</v>
      </c>
      <c r="K265" s="11">
        <v>212.07999999999998</v>
      </c>
      <c r="L265" s="11">
        <v>5.4779999999999998</v>
      </c>
      <c r="M265" s="10">
        <v>207.85233344101593</v>
      </c>
      <c r="N265" s="10">
        <v>626.12726553459288</v>
      </c>
      <c r="O265" s="14">
        <v>-0.8</v>
      </c>
      <c r="P265" s="10">
        <v>105.20564564516134</v>
      </c>
    </row>
    <row r="266" spans="1:16" ht="18">
      <c r="A266" s="2">
        <v>44530</v>
      </c>
      <c r="B266" s="3">
        <v>5346.1980112700003</v>
      </c>
      <c r="C266" s="3">
        <v>852.12173027000017</v>
      </c>
      <c r="D266" s="6">
        <v>0.78516209430668882</v>
      </c>
      <c r="E266" s="6">
        <v>0.8551676761093856</v>
      </c>
      <c r="F266" s="6">
        <f t="shared" si="4"/>
        <v>0.8435335570778012</v>
      </c>
      <c r="G266" s="3">
        <v>16842.843698933339</v>
      </c>
      <c r="H266" s="3">
        <v>14207.50385666667</v>
      </c>
      <c r="I266" s="3">
        <v>6170.0700334199992</v>
      </c>
      <c r="J266" s="10">
        <v>3900.51</v>
      </c>
      <c r="K266" s="11">
        <v>142.74</v>
      </c>
      <c r="L266" s="11">
        <v>5.0175999999999998</v>
      </c>
      <c r="M266" s="10">
        <v>214.24819212177101</v>
      </c>
      <c r="N266" s="10">
        <v>624.62040369992019</v>
      </c>
      <c r="O266" s="14">
        <v>-0.9</v>
      </c>
      <c r="P266" s="10">
        <v>105.18952329999998</v>
      </c>
    </row>
    <row r="267" spans="1:16" ht="18">
      <c r="A267" s="2">
        <v>44561</v>
      </c>
      <c r="B267" s="3">
        <v>4834.5474236299997</v>
      </c>
      <c r="C267" s="3">
        <v>1357.5811839099999</v>
      </c>
      <c r="D267" s="6">
        <v>0.80714273517877166</v>
      </c>
      <c r="E267" s="6">
        <v>0.76701907667854585</v>
      </c>
      <c r="F267" s="6">
        <f t="shared" si="4"/>
        <v>0.81324021527529844</v>
      </c>
      <c r="G267" s="3">
        <v>16835.671207903215</v>
      </c>
      <c r="H267" s="3">
        <v>13691.444877419353</v>
      </c>
      <c r="I267" s="3">
        <v>6303.8087380100005</v>
      </c>
      <c r="J267" s="10">
        <v>3967.77</v>
      </c>
      <c r="K267" s="11">
        <v>156.07499999999999</v>
      </c>
      <c r="L267" s="11">
        <v>3.7326999999999999</v>
      </c>
      <c r="M267" s="10">
        <v>186.82918386448543</v>
      </c>
      <c r="N267" s="10">
        <v>615.05154208522276</v>
      </c>
      <c r="O267" s="14">
        <v>-0.9</v>
      </c>
      <c r="P267" s="10">
        <v>338.32121580645156</v>
      </c>
    </row>
    <row r="268" spans="1:16" ht="18">
      <c r="A268" s="2">
        <v>44592</v>
      </c>
      <c r="B268" s="3">
        <v>4787.7469523099981</v>
      </c>
      <c r="C268" s="3">
        <v>1359.68916156</v>
      </c>
      <c r="D268" s="6">
        <v>0.79754655251489792</v>
      </c>
      <c r="E268" s="6">
        <v>0.79422850360594799</v>
      </c>
      <c r="F268" s="6">
        <f t="shared" si="4"/>
        <v>0.73924597557573168</v>
      </c>
      <c r="G268" s="3">
        <v>16835.523219999988</v>
      </c>
      <c r="H268" s="3">
        <v>12445.592787096775</v>
      </c>
      <c r="I268" s="3">
        <v>6159.6324444600004</v>
      </c>
      <c r="J268" s="10">
        <v>4000.72</v>
      </c>
      <c r="K268" s="11">
        <v>182.72499999999999</v>
      </c>
      <c r="L268" s="11">
        <v>4.3324999999999996</v>
      </c>
      <c r="M268" s="10">
        <v>193.73827101830304</v>
      </c>
      <c r="N268" s="10">
        <v>699.55599963324642</v>
      </c>
      <c r="O268" s="14">
        <v>-0.8</v>
      </c>
      <c r="P268" s="10">
        <v>292.51182061290314</v>
      </c>
    </row>
    <row r="269" spans="1:16" ht="18">
      <c r="A269" s="2">
        <v>44620</v>
      </c>
      <c r="B269" s="3">
        <v>4375.76691295</v>
      </c>
      <c r="C269" s="3">
        <v>1389.2746219699995</v>
      </c>
      <c r="D269" s="6">
        <v>0.75357170554011421</v>
      </c>
      <c r="E269" s="6">
        <v>0.77223877810253572</v>
      </c>
      <c r="F269" s="6">
        <f t="shared" si="4"/>
        <v>0.62242645930026141</v>
      </c>
      <c r="G269" s="3">
        <v>16916.421610642854</v>
      </c>
      <c r="H269" s="3">
        <v>10529.228407142857</v>
      </c>
      <c r="I269" s="3">
        <v>5768.4228965199991</v>
      </c>
      <c r="J269" s="10">
        <v>3938.36</v>
      </c>
      <c r="K269" s="11">
        <v>208.09</v>
      </c>
      <c r="L269" s="11">
        <v>4.6577000000000002</v>
      </c>
      <c r="M269" s="10">
        <v>193.22403720492528</v>
      </c>
      <c r="N269" s="10">
        <v>770.65452622607643</v>
      </c>
      <c r="O269" s="14">
        <v>-0.8</v>
      </c>
      <c r="P269" s="10">
        <v>402.66790542857143</v>
      </c>
    </row>
    <row r="270" spans="1:16" ht="18">
      <c r="A270" s="2">
        <v>44651</v>
      </c>
      <c r="B270" s="3">
        <v>5395.4838836500003</v>
      </c>
      <c r="C270" s="3">
        <v>963.99890758999982</v>
      </c>
      <c r="D270" s="6">
        <v>0.78137041314189981</v>
      </c>
      <c r="E270" s="6">
        <v>0.74843193881760051</v>
      </c>
      <c r="F270" s="6">
        <f t="shared" si="4"/>
        <v>0.58733633831301102</v>
      </c>
      <c r="G270" s="3">
        <v>16961.365160999998</v>
      </c>
      <c r="H270" s="3">
        <v>9962.0261064516126</v>
      </c>
      <c r="I270" s="3">
        <v>6405.6020280299999</v>
      </c>
      <c r="J270" s="10">
        <v>3805.52</v>
      </c>
      <c r="K270" s="11">
        <v>304.23</v>
      </c>
      <c r="L270" s="11">
        <v>4.8838999999999997</v>
      </c>
      <c r="M270" s="10">
        <v>247.58824257247934</v>
      </c>
      <c r="N270" s="10">
        <v>725.9779340079001</v>
      </c>
      <c r="O270" s="14">
        <v>-0.9</v>
      </c>
      <c r="P270" s="10">
        <v>229.33245790322584</v>
      </c>
    </row>
    <row r="271" spans="1:16" ht="18">
      <c r="A271" s="2">
        <v>44681</v>
      </c>
      <c r="B271" s="3">
        <v>5290.3849766900003</v>
      </c>
      <c r="C271" s="3">
        <v>856.62784771000008</v>
      </c>
      <c r="D271" s="6">
        <v>0.81920577733619715</v>
      </c>
      <c r="E271" s="6">
        <v>0.79218450126435824</v>
      </c>
      <c r="F271" s="6">
        <f t="shared" si="4"/>
        <v>0.59771092541403414</v>
      </c>
      <c r="G271" s="3">
        <v>16961.365160999998</v>
      </c>
      <c r="H271" s="3">
        <v>10137.993266666666</v>
      </c>
      <c r="I271" s="3">
        <v>6139.4807744500004</v>
      </c>
      <c r="J271" s="10">
        <v>3792.9820000000018</v>
      </c>
      <c r="K271" s="11">
        <v>306.42500000000001</v>
      </c>
      <c r="L271" s="11">
        <v>6.5305999999999997</v>
      </c>
      <c r="M271" s="10">
        <v>268.74921571193892</v>
      </c>
      <c r="N271" s="10">
        <v>720.40708480765363</v>
      </c>
      <c r="O271" s="14">
        <v>-1</v>
      </c>
      <c r="P271" s="10">
        <v>145.59476336666663</v>
      </c>
    </row>
    <row r="272" spans="1:16" ht="18">
      <c r="A272" s="2">
        <v>44712</v>
      </c>
      <c r="B272" s="3">
        <v>5600.331388319999</v>
      </c>
      <c r="C272" s="3">
        <v>884.03942524999991</v>
      </c>
      <c r="D272" s="6">
        <v>0.84112966010730272</v>
      </c>
      <c r="E272" s="6">
        <v>0.75352731483704427</v>
      </c>
      <c r="F272" s="6">
        <f t="shared" si="4"/>
        <v>0.6775486209284568</v>
      </c>
      <c r="G272" s="3">
        <v>17187.675514677409</v>
      </c>
      <c r="H272" s="3">
        <v>11645.485841935482</v>
      </c>
      <c r="I272" s="3">
        <v>6441.4283414399997</v>
      </c>
      <c r="J272" s="10">
        <v>4019.0793548387101</v>
      </c>
      <c r="K272" s="11">
        <v>325.93</v>
      </c>
      <c r="L272" s="11">
        <v>8.1372999999999998</v>
      </c>
      <c r="M272" s="10">
        <v>290.64946978358972</v>
      </c>
      <c r="N272" s="10">
        <v>918.80013257247174</v>
      </c>
      <c r="O272" s="14">
        <v>-0.9</v>
      </c>
      <c r="P272" s="10">
        <v>106.25512819354839</v>
      </c>
    </row>
    <row r="273" spans="1:16" ht="18">
      <c r="A273" s="2">
        <v>44742</v>
      </c>
      <c r="B273" s="3">
        <v>5281.0743799499996</v>
      </c>
      <c r="C273" s="3">
        <v>837.25077144999989</v>
      </c>
      <c r="D273" s="6">
        <v>0.8309494024454892</v>
      </c>
      <c r="E273" s="6">
        <v>0.75874881854023402</v>
      </c>
      <c r="F273" s="6">
        <f t="shared" si="4"/>
        <v>0.76311950763932479</v>
      </c>
      <c r="G273" s="3">
        <v>17293.610032533343</v>
      </c>
      <c r="H273" s="3">
        <v>13197.091173333332</v>
      </c>
      <c r="I273" s="3">
        <v>6076.77826972</v>
      </c>
      <c r="J273" s="10">
        <v>3930.7666666666669</v>
      </c>
      <c r="K273" s="11">
        <v>332.71839999999997</v>
      </c>
      <c r="L273" s="11">
        <v>7.6740000000000004</v>
      </c>
      <c r="M273" s="10">
        <v>291.00440956546544</v>
      </c>
      <c r="N273" s="10">
        <v>897.83763807251728</v>
      </c>
      <c r="O273" s="14">
        <v>-0.8</v>
      </c>
      <c r="P273" s="10">
        <v>104.55644239999998</v>
      </c>
    </row>
    <row r="274" spans="1:16" ht="18">
      <c r="A274" s="2">
        <v>44773</v>
      </c>
      <c r="B274" s="3">
        <v>5522.7233475800012</v>
      </c>
      <c r="C274" s="3">
        <v>926.36078871999985</v>
      </c>
      <c r="D274" s="6">
        <v>0.80065946911354369</v>
      </c>
      <c r="E274" s="6">
        <v>0.74770542454258893</v>
      </c>
      <c r="F274" s="6">
        <f t="shared" si="4"/>
        <v>0.83858174354379456</v>
      </c>
      <c r="G274" s="3">
        <v>17312.321211645158</v>
      </c>
      <c r="H274" s="3">
        <v>14517.796506451614</v>
      </c>
      <c r="I274" s="3">
        <v>6430.3815783500013</v>
      </c>
      <c r="J274" s="10">
        <v>4367.8058064516135</v>
      </c>
      <c r="K274" s="11">
        <v>335.64327885658497</v>
      </c>
      <c r="L274" s="11">
        <v>7.2561</v>
      </c>
      <c r="M274" s="10">
        <v>294.29266483882259</v>
      </c>
      <c r="N274" s="10">
        <v>1023.3253606434954</v>
      </c>
      <c r="O274" s="14">
        <v>-0.8</v>
      </c>
      <c r="P274" s="10">
        <v>109.79529316129036</v>
      </c>
    </row>
    <row r="275" spans="1:16" ht="18">
      <c r="A275" s="2">
        <v>44804</v>
      </c>
      <c r="B275" s="3">
        <v>5670.5044924899985</v>
      </c>
      <c r="C275" s="3">
        <v>815.53549763000012</v>
      </c>
      <c r="D275" s="6">
        <v>0.80608696293594018</v>
      </c>
      <c r="E275" s="6">
        <v>0.76194154430473826</v>
      </c>
      <c r="F275" s="6">
        <f t="shared" si="4"/>
        <v>0.86693611138654203</v>
      </c>
      <c r="G275" s="3">
        <v>17360.909383387105</v>
      </c>
      <c r="H275" s="3">
        <v>15050.799270967746</v>
      </c>
      <c r="I275" s="3">
        <v>6482.0181591299988</v>
      </c>
      <c r="J275" s="10">
        <v>4322.4693548387104</v>
      </c>
      <c r="K275" s="11">
        <v>340.79473194272998</v>
      </c>
      <c r="L275" s="11">
        <v>8.7853999999999992</v>
      </c>
      <c r="M275" s="10">
        <v>326.07853185308301</v>
      </c>
      <c r="N275" s="10">
        <v>892.77423206642777</v>
      </c>
      <c r="O275" s="14">
        <v>-0.9</v>
      </c>
      <c r="P275" s="10">
        <v>151.91953670967743</v>
      </c>
    </row>
    <row r="276" spans="1:16" ht="18">
      <c r="A276" s="2">
        <v>44834</v>
      </c>
      <c r="B276" s="3">
        <v>5475.0549096099994</v>
      </c>
      <c r="C276" s="3">
        <v>817.95187627000007</v>
      </c>
      <c r="D276" s="6">
        <v>0.78023905597525178</v>
      </c>
      <c r="E276" s="6">
        <v>0.74364126992307078</v>
      </c>
      <c r="F276" s="6">
        <f t="shared" si="4"/>
        <v>0.84953882278565129</v>
      </c>
      <c r="G276" s="3">
        <v>17371.697236399992</v>
      </c>
      <c r="H276" s="3">
        <v>14757.93122</v>
      </c>
      <c r="I276" s="3">
        <v>6270.7690466899994</v>
      </c>
      <c r="J276" s="10">
        <v>4433.6509999999998</v>
      </c>
      <c r="K276" s="11">
        <v>332.89722661218502</v>
      </c>
      <c r="L276" s="11">
        <v>7.7629000000000001</v>
      </c>
      <c r="M276" s="10">
        <v>335.20262603401181</v>
      </c>
      <c r="N276" s="10">
        <v>984.41516812646978</v>
      </c>
      <c r="O276" s="14">
        <v>-1</v>
      </c>
      <c r="P276" s="10">
        <v>256.42083693333331</v>
      </c>
    </row>
    <row r="277" spans="1:16" ht="18">
      <c r="A277" s="2">
        <v>44865</v>
      </c>
      <c r="B277" s="3">
        <v>5822.7163592100005</v>
      </c>
      <c r="C277" s="3">
        <v>685.23047307999991</v>
      </c>
      <c r="D277" s="6">
        <v>0.78424423189114389</v>
      </c>
      <c r="E277" s="6">
        <v>0.75324121104192443</v>
      </c>
      <c r="F277" s="6">
        <f t="shared" si="4"/>
        <v>0.83230919198880537</v>
      </c>
      <c r="G277" s="3">
        <v>17806.563885935484</v>
      </c>
      <c r="H277" s="3">
        <v>14820.566800000004</v>
      </c>
      <c r="I277" s="3">
        <v>6413.7271796099994</v>
      </c>
      <c r="J277" s="10">
        <v>4711.8303225806467</v>
      </c>
      <c r="K277" s="11">
        <v>290.50493989592002</v>
      </c>
      <c r="L277" s="11">
        <v>5.6195000000000004</v>
      </c>
      <c r="M277" s="10">
        <v>366.45197713259324</v>
      </c>
      <c r="N277" s="10">
        <v>1002.4449231288642</v>
      </c>
      <c r="O277" s="14">
        <v>-0.9</v>
      </c>
      <c r="P277" s="10">
        <v>304.07921038709674</v>
      </c>
    </row>
    <row r="278" spans="1:16" ht="18">
      <c r="A278" s="2">
        <v>44895</v>
      </c>
      <c r="B278" s="3">
        <v>5634.7408915700016</v>
      </c>
      <c r="C278" s="3">
        <v>691.01549972999999</v>
      </c>
      <c r="D278" s="6">
        <v>0.80515473823605888</v>
      </c>
      <c r="E278" s="6">
        <v>0.7651662299027161</v>
      </c>
      <c r="F278" s="6">
        <f t="shared" si="4"/>
        <v>0.86489483600438</v>
      </c>
      <c r="G278" s="3">
        <v>17820.208313266667</v>
      </c>
      <c r="H278" s="3">
        <v>15412.606146666663</v>
      </c>
      <c r="I278" s="3">
        <v>6160.48293096</v>
      </c>
      <c r="J278" s="10">
        <v>4926.6606666666667</v>
      </c>
      <c r="K278" s="11">
        <v>255.62828348278501</v>
      </c>
      <c r="L278" s="11">
        <v>5.2769000000000004</v>
      </c>
      <c r="M278" s="10">
        <v>324.99796657716917</v>
      </c>
      <c r="N278" s="10">
        <v>989.43531772358619</v>
      </c>
      <c r="O278" s="14">
        <v>-0.8</v>
      </c>
      <c r="P278" s="10">
        <v>187.69111370000002</v>
      </c>
    </row>
    <row r="279" spans="1:16" ht="18">
      <c r="A279" s="2">
        <v>44926</v>
      </c>
      <c r="B279" s="3">
        <v>5480.7664528400001</v>
      </c>
      <c r="C279" s="3">
        <v>991.19596612999987</v>
      </c>
      <c r="D279" s="6">
        <v>0.80662366514478223</v>
      </c>
      <c r="E279" s="6">
        <v>0.79995486219161616</v>
      </c>
      <c r="F279" s="6">
        <f t="shared" si="4"/>
        <v>0.83001511022226504</v>
      </c>
      <c r="G279" s="3">
        <v>18194.181866999999</v>
      </c>
      <c r="H279" s="3">
        <v>15101.445867741941</v>
      </c>
      <c r="I279" s="3">
        <v>6300.9319823599999</v>
      </c>
      <c r="J279" s="10">
        <v>4788.4906451612896</v>
      </c>
      <c r="K279" s="11">
        <v>297.11500000000001</v>
      </c>
      <c r="L279" s="11">
        <v>5.5030000000000001</v>
      </c>
      <c r="M279" s="10">
        <v>336.08352374664571</v>
      </c>
      <c r="N279" s="10">
        <v>911.8164068116962</v>
      </c>
      <c r="O279" s="14">
        <v>-0.7</v>
      </c>
      <c r="P279" s="10">
        <v>340.60802783870963</v>
      </c>
    </row>
    <row r="280" spans="1:16" ht="18">
      <c r="A280" s="2">
        <v>44957</v>
      </c>
      <c r="B280" s="3">
        <v>5599.2092590400016</v>
      </c>
      <c r="C280" s="3">
        <v>938.60353578000002</v>
      </c>
      <c r="D280" s="6">
        <v>0.79641419557616522</v>
      </c>
      <c r="E280" s="6">
        <v>0.80153910390500505</v>
      </c>
      <c r="F280" s="6">
        <f t="shared" si="4"/>
        <v>0.7673243884362424</v>
      </c>
      <c r="G280" s="3">
        <v>18194.181866999999</v>
      </c>
      <c r="H280" s="3">
        <v>13960.839474193546</v>
      </c>
      <c r="I280" s="3">
        <v>6237.0364284099978</v>
      </c>
      <c r="J280" s="10">
        <v>4712.18</v>
      </c>
      <c r="K280" s="11">
        <v>244.995</v>
      </c>
      <c r="L280" s="11">
        <v>3.2728000000000002</v>
      </c>
      <c r="M280" s="10">
        <v>367.20832834308266</v>
      </c>
      <c r="N280" s="10">
        <v>982.46470339420773</v>
      </c>
      <c r="O280" s="14">
        <v>-0.5</v>
      </c>
      <c r="P280" s="10">
        <v>375.98999432258074</v>
      </c>
    </row>
    <row r="281" spans="1:16" ht="18">
      <c r="A281" s="2">
        <v>44985</v>
      </c>
      <c r="B281" s="3">
        <v>4816.1068785699999</v>
      </c>
      <c r="C281" s="3">
        <v>1213.0874121200002</v>
      </c>
      <c r="D281" s="6">
        <v>0.77913057224792581</v>
      </c>
      <c r="E281" s="6">
        <v>0.78920843444868838</v>
      </c>
      <c r="F281" s="6">
        <f t="shared" si="4"/>
        <v>0.65331792962512458</v>
      </c>
      <c r="G281" s="3">
        <v>18194.181867000003</v>
      </c>
      <c r="H281" s="3">
        <v>11886.585228571426</v>
      </c>
      <c r="I281" s="3">
        <v>5861.3057527499996</v>
      </c>
      <c r="J281" s="10">
        <v>4802.75</v>
      </c>
      <c r="K281" s="11">
        <v>176.07499999999999</v>
      </c>
      <c r="L281" s="11">
        <v>2.3835999999999999</v>
      </c>
      <c r="M281" s="10">
        <v>363.76866357744495</v>
      </c>
      <c r="N281" s="10">
        <v>1162.5469491423289</v>
      </c>
      <c r="O281" s="14">
        <v>-0.3</v>
      </c>
      <c r="P281" s="10">
        <v>532.62731207142849</v>
      </c>
    </row>
    <row r="282" spans="1:16" ht="18">
      <c r="A282" s="2">
        <v>45016</v>
      </c>
      <c r="B282" s="3">
        <v>5622.9994742500003</v>
      </c>
      <c r="C282" s="3">
        <v>852.74669529999994</v>
      </c>
      <c r="D282" s="6">
        <v>0.7760945223769774</v>
      </c>
      <c r="E282" s="6">
        <v>0.7788637801843723</v>
      </c>
      <c r="F282" s="6">
        <f t="shared" si="4"/>
        <v>0.59955246089241576</v>
      </c>
      <c r="G282" s="3">
        <v>18220.015933322582</v>
      </c>
      <c r="H282" s="3">
        <v>10923.85539032258</v>
      </c>
      <c r="I282" s="3">
        <v>6506.5150334999998</v>
      </c>
      <c r="J282" s="10">
        <v>4760.96</v>
      </c>
      <c r="K282" s="11">
        <v>162.035</v>
      </c>
      <c r="L282" s="11">
        <v>2.3048999999999999</v>
      </c>
      <c r="M282" s="10">
        <v>328.25078187559359</v>
      </c>
      <c r="N282" s="10">
        <v>1010.3576039950312</v>
      </c>
      <c r="O282" s="14">
        <v>0</v>
      </c>
      <c r="P282" s="10">
        <v>297.74603441935483</v>
      </c>
    </row>
    <row r="283" spans="1:16" ht="18">
      <c r="A283" s="2">
        <v>45046</v>
      </c>
      <c r="B283" s="3">
        <v>5521.9430194699989</v>
      </c>
      <c r="C283" s="3">
        <v>667.72665009000002</v>
      </c>
      <c r="D283" s="6">
        <v>0.7982103533925613</v>
      </c>
      <c r="E283" s="6">
        <v>0.81083045636745854</v>
      </c>
      <c r="F283" s="6">
        <f t="shared" si="4"/>
        <v>0.59581534978034789</v>
      </c>
      <c r="G283" s="3">
        <v>18223.092804400007</v>
      </c>
      <c r="H283" s="3">
        <v>10857.598413333331</v>
      </c>
      <c r="I283" s="3">
        <v>6227.6044648999996</v>
      </c>
      <c r="J283" s="10">
        <v>4526.03</v>
      </c>
      <c r="K283" s="11">
        <v>164.01255</v>
      </c>
      <c r="L283" s="11">
        <v>2.1610999999999998</v>
      </c>
      <c r="M283" s="10">
        <v>311.75754701465002</v>
      </c>
      <c r="N283" s="10">
        <v>1081.2566209220508</v>
      </c>
      <c r="O283" s="14">
        <v>0.3</v>
      </c>
      <c r="P283" s="10">
        <v>229.45586656666671</v>
      </c>
    </row>
    <row r="284" spans="1:16" ht="18">
      <c r="A284" s="2">
        <v>45077</v>
      </c>
      <c r="B284" s="3">
        <v>5134.6786304300003</v>
      </c>
      <c r="C284" s="3">
        <v>1456.7600290099999</v>
      </c>
      <c r="D284" s="6">
        <v>0.79665991482070175</v>
      </c>
      <c r="E284" s="6">
        <v>0.74808148622599002</v>
      </c>
      <c r="F284" s="6">
        <f t="shared" si="4"/>
        <v>0.60446663812276813</v>
      </c>
      <c r="G284" s="3">
        <v>18231.900699774185</v>
      </c>
      <c r="H284" s="3">
        <v>11020.575722580645</v>
      </c>
      <c r="I284" s="3">
        <v>6697.8172240300009</v>
      </c>
      <c r="J284" s="10">
        <v>4539.54</v>
      </c>
      <c r="K284" s="11">
        <v>131.74</v>
      </c>
      <c r="L284" s="11">
        <v>2.1463999999999999</v>
      </c>
      <c r="M284" s="10">
        <v>311.13604337895998</v>
      </c>
      <c r="N284" s="10">
        <v>1013.461353058355</v>
      </c>
      <c r="O284" s="14">
        <v>0.6</v>
      </c>
      <c r="P284" s="10">
        <v>576.15880232258053</v>
      </c>
    </row>
    <row r="285" spans="1:16" ht="18">
      <c r="A285" s="2">
        <v>45107</v>
      </c>
      <c r="B285" s="3">
        <v>5024.9311778400006</v>
      </c>
      <c r="C285" s="3">
        <v>1261.2100252599998</v>
      </c>
      <c r="D285" s="6">
        <v>0.78710632017570992</v>
      </c>
      <c r="E285" s="6">
        <v>0.7678061626363607</v>
      </c>
      <c r="F285" s="6">
        <f t="shared" si="4"/>
        <v>0.69902189225180944</v>
      </c>
      <c r="G285" s="3">
        <v>18139.822563333331</v>
      </c>
      <c r="H285" s="3">
        <v>12680.133093333334</v>
      </c>
      <c r="I285" s="3">
        <v>6437.3918485800004</v>
      </c>
      <c r="J285" s="10">
        <v>4213.53</v>
      </c>
      <c r="K285" s="11">
        <v>119</v>
      </c>
      <c r="L285" s="11">
        <v>2.1833999999999998</v>
      </c>
      <c r="M285" s="10">
        <v>300.21791711649951</v>
      </c>
      <c r="N285" s="10">
        <v>997.33449756503262</v>
      </c>
      <c r="O285" s="14">
        <v>0.8</v>
      </c>
      <c r="P285" s="10">
        <v>468.59624539999999</v>
      </c>
    </row>
    <row r="286" spans="1:16" ht="18">
      <c r="A286" s="2">
        <v>45138</v>
      </c>
      <c r="B286" s="3">
        <v>4896.2219699100006</v>
      </c>
      <c r="C286" s="3">
        <v>1524.7387473100002</v>
      </c>
      <c r="D286" s="6">
        <v>0.8074741105530806</v>
      </c>
      <c r="E286" s="6">
        <v>0.84858266813944905</v>
      </c>
      <c r="F286" s="6">
        <f t="shared" si="4"/>
        <v>0.77699336305956113</v>
      </c>
      <c r="G286" s="3">
        <v>18133.421806935487</v>
      </c>
      <c r="H286" s="3">
        <v>14089.548393548388</v>
      </c>
      <c r="I286" s="3">
        <v>6652.555232749999</v>
      </c>
      <c r="J286" s="10">
        <v>4067.63</v>
      </c>
      <c r="K286" s="11">
        <v>118.69</v>
      </c>
      <c r="L286" s="11">
        <v>2.5539999999999998</v>
      </c>
      <c r="M286" s="10">
        <v>286.71427510138807</v>
      </c>
      <c r="N286" s="10">
        <v>913.06100042565163</v>
      </c>
      <c r="O286" s="14">
        <v>1.1000000000000001</v>
      </c>
      <c r="P286" s="10">
        <v>527.4416639354838</v>
      </c>
    </row>
    <row r="287" spans="1:16" ht="18">
      <c r="A287" s="2">
        <v>45169</v>
      </c>
      <c r="B287" s="3">
        <v>5187.723102330001</v>
      </c>
      <c r="C287" s="3">
        <v>1586.4918289099999</v>
      </c>
      <c r="D287" s="6">
        <v>0.80852328784096594</v>
      </c>
      <c r="E287" s="6">
        <v>0.75675406996702743</v>
      </c>
      <c r="F287" s="6">
        <f t="shared" si="4"/>
        <v>0.81826293063967348</v>
      </c>
      <c r="G287" s="3">
        <v>18178.859048419348</v>
      </c>
      <c r="H287" s="3">
        <v>14875.086480645163</v>
      </c>
      <c r="I287" s="3">
        <v>6860.2281064299996</v>
      </c>
      <c r="J287" s="10">
        <v>4066</v>
      </c>
      <c r="K287" s="11">
        <v>125.10730000000001</v>
      </c>
      <c r="L287" s="11">
        <v>2.5844999999999998</v>
      </c>
      <c r="M287" s="10">
        <v>276.55451850923265</v>
      </c>
      <c r="N287" s="10">
        <v>839.52336409863858</v>
      </c>
      <c r="O287" s="14">
        <v>1.4</v>
      </c>
      <c r="P287" s="10">
        <v>538.55225693548391</v>
      </c>
    </row>
    <row r="288" spans="1:16" ht="18">
      <c r="A288" s="2">
        <v>45199</v>
      </c>
      <c r="B288" s="3">
        <v>4490.9859218700003</v>
      </c>
      <c r="C288" s="3">
        <v>2412.0453093400001</v>
      </c>
      <c r="D288" s="6">
        <v>0.74275294782161405</v>
      </c>
      <c r="E288" s="6">
        <v>0.7901856532498297</v>
      </c>
      <c r="F288" s="6">
        <f t="shared" si="4"/>
        <v>0.7744245074588435</v>
      </c>
      <c r="G288" s="3">
        <v>17810.476847200011</v>
      </c>
      <c r="H288" s="3">
        <v>13792.869760000003</v>
      </c>
      <c r="I288" s="3">
        <v>6759.6319828899996</v>
      </c>
      <c r="J288" s="10">
        <v>4008.41</v>
      </c>
      <c r="K288" s="11">
        <v>131.16</v>
      </c>
      <c r="L288" s="11">
        <v>2.6395</v>
      </c>
      <c r="M288" s="10">
        <v>256.99652314252745</v>
      </c>
      <c r="N288" s="10">
        <v>802.68557905001319</v>
      </c>
      <c r="O288" s="14">
        <v>1.6</v>
      </c>
      <c r="P288" s="10">
        <v>1017.5046018999999</v>
      </c>
    </row>
    <row r="289" spans="1:16" ht="18">
      <c r="A289" s="2">
        <v>45230</v>
      </c>
      <c r="B289" s="3">
        <v>4244.7587042299992</v>
      </c>
      <c r="C289" s="3">
        <v>2622.7172843700005</v>
      </c>
      <c r="D289" s="6">
        <v>0.75220114767273771</v>
      </c>
      <c r="E289" s="6">
        <v>0.81222702337805808</v>
      </c>
      <c r="F289" s="6">
        <f t="shared" si="4"/>
        <v>0.72446696120112952</v>
      </c>
      <c r="G289" s="3">
        <v>17562.776136774202</v>
      </c>
      <c r="H289" s="3">
        <v>12723.651058064519</v>
      </c>
      <c r="I289" s="3">
        <v>6755.3576138000008</v>
      </c>
      <c r="J289" s="10">
        <v>4219.16</v>
      </c>
      <c r="K289" s="11">
        <v>135.26</v>
      </c>
      <c r="L289" s="11">
        <v>2.9885999999999999</v>
      </c>
      <c r="M289" s="10">
        <v>279.81129052959363</v>
      </c>
      <c r="N289" s="10">
        <v>791.61499928991213</v>
      </c>
      <c r="O289" s="14">
        <v>1.8</v>
      </c>
      <c r="P289" s="10">
        <v>1023.5742891612902</v>
      </c>
    </row>
    <row r="290" spans="1:16" ht="18">
      <c r="A290" s="2">
        <v>45260</v>
      </c>
      <c r="B290" s="3">
        <v>5037.7893681900005</v>
      </c>
      <c r="C290" s="3">
        <v>1631.3773591600002</v>
      </c>
      <c r="D290" s="6">
        <v>0.79573681613631353</v>
      </c>
      <c r="E290" s="6">
        <v>0.77007041400337639</v>
      </c>
      <c r="F290" s="6">
        <f t="shared" si="4"/>
        <v>0.75280979328694708</v>
      </c>
      <c r="G290" s="3">
        <v>17352.713505000003</v>
      </c>
      <c r="H290" s="3">
        <v>13063.292666666668</v>
      </c>
      <c r="I290" s="3">
        <v>6543.4166515200004</v>
      </c>
      <c r="J290" s="10">
        <v>4040.26</v>
      </c>
      <c r="K290" s="11">
        <v>117.91</v>
      </c>
      <c r="L290" s="11">
        <v>2.7084000000000001</v>
      </c>
      <c r="M290" s="10">
        <v>235.5644840851466</v>
      </c>
      <c r="N290" s="10">
        <v>804.56428964419808</v>
      </c>
      <c r="O290" s="14">
        <v>2</v>
      </c>
      <c r="P290" s="10">
        <v>520.06087583333328</v>
      </c>
    </row>
    <row r="291" spans="1:16" ht="18">
      <c r="A291" s="2">
        <v>45291</v>
      </c>
      <c r="B291" s="3">
        <v>4255.9665072199996</v>
      </c>
      <c r="C291" s="3">
        <v>2450.0885625399997</v>
      </c>
      <c r="D291" s="6">
        <v>0.80767671584024769</v>
      </c>
      <c r="E291" s="6">
        <v>0.79266636368709276</v>
      </c>
      <c r="F291" s="6">
        <f t="shared" si="4"/>
        <v>0.71943500156370388</v>
      </c>
      <c r="G291" s="3">
        <v>17358.910836999999</v>
      </c>
      <c r="H291" s="3">
        <v>12488.608045161291</v>
      </c>
      <c r="I291" s="3">
        <v>6725.826894159999</v>
      </c>
      <c r="J291" s="10">
        <v>3954.14</v>
      </c>
      <c r="K291" s="11">
        <v>125.32470000000001</v>
      </c>
      <c r="L291" s="11">
        <v>2.5265</v>
      </c>
      <c r="M291" s="10">
        <v>222.47972213359131</v>
      </c>
      <c r="N291" s="10">
        <v>716.58944422765603</v>
      </c>
      <c r="O291" s="14">
        <v>2.1</v>
      </c>
      <c r="P291" s="10">
        <v>659.76139970967745</v>
      </c>
    </row>
    <row r="292" spans="1:16" ht="18">
      <c r="A292" s="2">
        <v>45322</v>
      </c>
      <c r="B292" s="3">
        <v>4532.4608236599997</v>
      </c>
      <c r="C292" s="3">
        <v>2072.5569458200002</v>
      </c>
      <c r="D292" s="6">
        <v>0.77386469725995144</v>
      </c>
      <c r="E292" s="6">
        <v>0.83198031842435805</v>
      </c>
      <c r="F292" s="6">
        <f t="shared" si="4"/>
        <v>0.6366239778239341</v>
      </c>
      <c r="G292" s="3">
        <v>17358.910836999999</v>
      </c>
      <c r="H292" s="3">
        <v>11051.098867741937</v>
      </c>
      <c r="I292" s="3">
        <v>6767.4328611600013</v>
      </c>
      <c r="J292" s="10">
        <v>3920.2</v>
      </c>
      <c r="K292" s="11">
        <v>115.825</v>
      </c>
      <c r="L292" s="11">
        <v>3.18</v>
      </c>
      <c r="M292" s="10">
        <v>229.21090209479837</v>
      </c>
      <c r="N292" s="10">
        <v>787.89213042977065</v>
      </c>
      <c r="O292" s="14">
        <v>1.9</v>
      </c>
      <c r="P292" s="10">
        <v>560.73359270967751</v>
      </c>
    </row>
    <row r="293" spans="1:16" ht="18">
      <c r="A293" s="2">
        <v>45351</v>
      </c>
      <c r="B293" s="3">
        <v>4164.6695085400006</v>
      </c>
      <c r="C293" s="3">
        <v>2089.7571804300001</v>
      </c>
      <c r="D293" s="6">
        <v>0.7144120000601013</v>
      </c>
      <c r="E293" s="6">
        <v>0.84081752230828644</v>
      </c>
      <c r="F293" s="6">
        <f t="shared" si="4"/>
        <v>0.5017853221210038</v>
      </c>
      <c r="G293" s="3">
        <v>17359.427185413781</v>
      </c>
      <c r="H293" s="3">
        <v>8710.7057620689648</v>
      </c>
      <c r="I293" s="3">
        <v>6435.1261572400008</v>
      </c>
      <c r="J293" s="10">
        <v>3931.85</v>
      </c>
      <c r="K293" s="11">
        <v>114.66</v>
      </c>
      <c r="L293" s="11">
        <v>1.72</v>
      </c>
      <c r="M293" s="10">
        <v>245.91112632535797</v>
      </c>
      <c r="N293" s="10">
        <v>755.97370779519395</v>
      </c>
      <c r="O293" s="14">
        <v>1.6</v>
      </c>
      <c r="P293" s="10">
        <v>572.08915644827596</v>
      </c>
    </row>
    <row r="294" spans="1:16" ht="18">
      <c r="A294" s="2">
        <v>45352</v>
      </c>
      <c r="B294" s="3">
        <v>3969.0602299399998</v>
      </c>
      <c r="C294" s="3">
        <v>2839.2881376199994</v>
      </c>
      <c r="D294" s="6">
        <v>0.684146809655923</v>
      </c>
      <c r="E294" s="6">
        <v>0.80385281271677744</v>
      </c>
      <c r="F294" s="6">
        <f t="shared" si="4"/>
        <v>0.36579548001074441</v>
      </c>
      <c r="G294" s="3">
        <v>17359.427185413781</v>
      </c>
      <c r="H294" s="9">
        <v>6350</v>
      </c>
      <c r="I294" s="3">
        <v>6909.6329080100004</v>
      </c>
      <c r="J294" s="10">
        <v>3908.67</v>
      </c>
      <c r="K294" s="11">
        <v>118.16500000000001</v>
      </c>
      <c r="L294" s="11">
        <v>1.5</v>
      </c>
      <c r="M294" s="10">
        <v>234.9305113917568</v>
      </c>
      <c r="N294" s="10">
        <v>650.18502740241775</v>
      </c>
      <c r="O294" s="14">
        <v>1.3</v>
      </c>
      <c r="P294" s="10">
        <v>625.24291358064511</v>
      </c>
    </row>
    <row r="295" spans="1:16" ht="18">
      <c r="A295" s="2">
        <v>45383</v>
      </c>
      <c r="B295" s="3">
        <v>3307.6653589799998</v>
      </c>
      <c r="C295" s="3">
        <v>3183.8756922300004</v>
      </c>
      <c r="D295" s="6">
        <v>0.78949999999999998</v>
      </c>
      <c r="E295" s="6">
        <v>0.79200000000000004</v>
      </c>
      <c r="F295" s="6">
        <f t="shared" si="4"/>
        <v>0.31107017197764092</v>
      </c>
      <c r="G295" s="3">
        <v>17359.427185413781</v>
      </c>
      <c r="H295" s="9">
        <v>5400</v>
      </c>
      <c r="I295" s="3">
        <v>6683.8713521200007</v>
      </c>
      <c r="J295" s="10">
        <v>3866.12</v>
      </c>
      <c r="K295" s="11">
        <v>119.93</v>
      </c>
      <c r="L295" s="11">
        <v>1.6</v>
      </c>
      <c r="M295" s="10">
        <v>243.31211031067659</v>
      </c>
      <c r="N295" s="10">
        <v>568.64108679005892</v>
      </c>
      <c r="O295" s="14">
        <v>0.8</v>
      </c>
      <c r="P295" s="10">
        <v>754.79737630000011</v>
      </c>
    </row>
    <row r="296" spans="1:16" ht="18">
      <c r="A296" s="2">
        <v>45413</v>
      </c>
      <c r="B296" s="3">
        <v>5561.7555383299987</v>
      </c>
      <c r="C296" s="3">
        <v>1101.6096479500002</v>
      </c>
      <c r="D296" s="6">
        <v>0.75729999999999997</v>
      </c>
      <c r="E296" s="6">
        <v>0.73040000000000005</v>
      </c>
      <c r="F296" s="6">
        <f t="shared" si="4"/>
        <v>0.43693503752399249</v>
      </c>
      <c r="G296" s="3">
        <v>17359.560000000001</v>
      </c>
      <c r="H296" s="9">
        <v>7585</v>
      </c>
      <c r="I296" s="3">
        <v>6797.4708670199989</v>
      </c>
      <c r="J296" s="10">
        <v>3865.09</v>
      </c>
      <c r="K296" s="11">
        <v>123.82</v>
      </c>
      <c r="L296" s="11">
        <v>2.1204545449999999</v>
      </c>
      <c r="M296" s="10">
        <v>255.30511913157289</v>
      </c>
      <c r="N296" s="10">
        <v>632.22014407457993</v>
      </c>
      <c r="O296" s="14">
        <v>0.5</v>
      </c>
      <c r="P296" s="10">
        <v>296.49620758064509</v>
      </c>
    </row>
    <row r="297" spans="1:16" ht="18">
      <c r="A297" s="2">
        <v>45444</v>
      </c>
      <c r="B297" s="3">
        <v>5091.9733851400015</v>
      </c>
      <c r="C297" s="3">
        <v>1089.5578079299999</v>
      </c>
      <c r="D297" s="6">
        <v>0.70850000000000002</v>
      </c>
      <c r="E297" s="6">
        <v>0.65939999999999999</v>
      </c>
      <c r="F297" s="6">
        <f t="shared" si="4"/>
        <v>0.57945017039602387</v>
      </c>
      <c r="G297" s="3">
        <v>17359.560000000001</v>
      </c>
      <c r="H297" s="9">
        <v>10059</v>
      </c>
      <c r="I297" s="3">
        <v>6424.5072558299989</v>
      </c>
      <c r="J297" s="10">
        <v>4054.56</v>
      </c>
      <c r="K297" s="11">
        <v>120.19999999999999</v>
      </c>
      <c r="L297" s="11">
        <v>2.5305</v>
      </c>
      <c r="M297" s="10">
        <v>235.21315069313439</v>
      </c>
      <c r="N297" s="10">
        <v>687.11728224588762</v>
      </c>
      <c r="O297" s="14">
        <v>0.2</v>
      </c>
      <c r="P297" s="10">
        <v>285.84644983333334</v>
      </c>
    </row>
    <row r="298" spans="1:16" ht="18">
      <c r="A298" s="2">
        <v>45474</v>
      </c>
      <c r="B298" s="3">
        <v>5477.38945418</v>
      </c>
      <c r="C298" s="3">
        <v>1130.5065989899999</v>
      </c>
      <c r="D298" s="6">
        <v>0.77280000000000004</v>
      </c>
      <c r="E298" s="6">
        <v>0.75239999999999996</v>
      </c>
      <c r="F298" s="6">
        <f t="shared" si="4"/>
        <v>0.59326215641410263</v>
      </c>
      <c r="G298" s="3">
        <v>17359.560000000001</v>
      </c>
      <c r="H298" s="4">
        <v>10298.77</v>
      </c>
      <c r="I298" s="3">
        <v>6813.5141760499992</v>
      </c>
      <c r="J298" s="10">
        <v>4036.8</v>
      </c>
      <c r="K298" s="11">
        <v>121.43</v>
      </c>
      <c r="L298" s="11">
        <v>2.0754545449999999</v>
      </c>
      <c r="M298" s="10">
        <v>253.26043807943904</v>
      </c>
      <c r="N298" s="10">
        <v>766.71332356075095</v>
      </c>
      <c r="O298" s="14">
        <v>0.1</v>
      </c>
      <c r="P298" s="10">
        <v>289.36892077419361</v>
      </c>
    </row>
    <row r="299" spans="1:16" ht="18">
      <c r="A299" s="2">
        <v>45505</v>
      </c>
      <c r="B299" s="3">
        <v>5243.6210816900002</v>
      </c>
      <c r="C299" s="3">
        <v>1606.4421723700004</v>
      </c>
      <c r="D299" s="6">
        <v>0.78249999999999997</v>
      </c>
      <c r="E299" s="6">
        <v>0.76290000000000002</v>
      </c>
      <c r="F299" s="6">
        <f t="shared" si="4"/>
        <v>0.4892741454993475</v>
      </c>
      <c r="G299" s="3">
        <v>17359.410341891617</v>
      </c>
      <c r="H299" s="3">
        <v>8493.5106614015567</v>
      </c>
      <c r="I299" s="3">
        <v>6823.346898570001</v>
      </c>
      <c r="J299" s="10">
        <v>4062.98</v>
      </c>
      <c r="K299" s="11">
        <v>126</v>
      </c>
      <c r="L299" s="11">
        <v>1.99</v>
      </c>
      <c r="M299" s="10">
        <v>251.2075671894379</v>
      </c>
      <c r="N299" s="10">
        <v>765.28647478711048</v>
      </c>
      <c r="O299" s="14">
        <v>-0.1</v>
      </c>
      <c r="P299" s="10">
        <v>571.80415541935463</v>
      </c>
    </row>
    <row r="300" spans="1:16" ht="18">
      <c r="A300" s="2">
        <v>45536</v>
      </c>
      <c r="B300" s="3">
        <v>4449.0846441400008</v>
      </c>
      <c r="C300" s="3">
        <v>2262.5026799400002</v>
      </c>
      <c r="D300" s="6">
        <v>0.72799999999999998</v>
      </c>
      <c r="E300" s="6">
        <v>0.69869999999999999</v>
      </c>
      <c r="F300" s="6">
        <f t="shared" si="4"/>
        <v>0.50190798137644266</v>
      </c>
      <c r="G300" s="3">
        <v>17358.66</v>
      </c>
      <c r="H300" s="3">
        <v>8712.4500000000007</v>
      </c>
      <c r="I300" s="3">
        <v>6710.5466760099998</v>
      </c>
      <c r="J300" s="10">
        <v>4191.8599999999997</v>
      </c>
      <c r="K300" s="11">
        <v>122.64999999999999</v>
      </c>
      <c r="L300" s="11">
        <v>2.25</v>
      </c>
      <c r="M300" s="10">
        <v>256.45827950131337</v>
      </c>
      <c r="N300" s="10">
        <v>718.7108520082337</v>
      </c>
      <c r="O300" s="14">
        <v>-0.2</v>
      </c>
      <c r="P300" s="10">
        <v>875.55808336666644</v>
      </c>
    </row>
    <row r="301" spans="1:16" ht="18">
      <c r="A301" s="2">
        <v>45566</v>
      </c>
      <c r="B301" s="3">
        <v>3800.1641484000011</v>
      </c>
      <c r="C301" s="3">
        <v>2822.8431025899999</v>
      </c>
      <c r="D301" s="6">
        <v>0.75539999999999996</v>
      </c>
      <c r="E301" s="6">
        <v>0.48849999999999999</v>
      </c>
      <c r="F301" s="6">
        <f t="shared" si="4"/>
        <v>0.55293265724428042</v>
      </c>
      <c r="G301" s="3">
        <v>17358.66</v>
      </c>
      <c r="H301" s="3">
        <v>9598.17</v>
      </c>
      <c r="I301" s="3">
        <v>6885.9345559800004</v>
      </c>
      <c r="J301" s="10">
        <v>4257.76</v>
      </c>
      <c r="K301" s="11">
        <v>126.69999999999999</v>
      </c>
      <c r="L301" s="11">
        <v>2.21</v>
      </c>
      <c r="M301" s="10">
        <v>264.36363691203513</v>
      </c>
      <c r="N301" s="10">
        <v>665.46396481258091</v>
      </c>
      <c r="O301" s="14">
        <v>-0.2</v>
      </c>
      <c r="P301" s="10">
        <v>1554.2297017096773</v>
      </c>
    </row>
    <row r="302" spans="1:16" ht="18">
      <c r="A302" s="2">
        <v>45597</v>
      </c>
      <c r="B302" s="3">
        <v>4499</v>
      </c>
      <c r="C302" s="3">
        <v>1897</v>
      </c>
      <c r="D302" s="6">
        <v>0.77375694093891978</v>
      </c>
      <c r="E302" s="6">
        <v>0.71572387344199428</v>
      </c>
      <c r="F302" s="6">
        <f t="shared" si="4"/>
        <v>0.67023620708032949</v>
      </c>
      <c r="G302" s="3">
        <v>17168.41</v>
      </c>
      <c r="H302" s="3">
        <v>11506.89</v>
      </c>
      <c r="I302" s="3">
        <v>6472.2222000000002</v>
      </c>
      <c r="J302" s="10">
        <v>4408.6499999999996</v>
      </c>
      <c r="K302" s="11">
        <v>124.47</v>
      </c>
      <c r="L302" s="11">
        <v>2.1044999999999998</v>
      </c>
      <c r="M302" s="10">
        <v>230.87341837592842</v>
      </c>
      <c r="N302" s="10">
        <v>724.26115708709403</v>
      </c>
      <c r="O302" s="14">
        <v>-0.3</v>
      </c>
      <c r="P302" s="10">
        <v>1068.2595187333334</v>
      </c>
    </row>
    <row r="303" spans="1:16" ht="18">
      <c r="A303" s="2">
        <v>45627</v>
      </c>
      <c r="B303" s="3">
        <v>4407</v>
      </c>
      <c r="C303" s="3">
        <v>2349</v>
      </c>
      <c r="D303" s="6">
        <v>0.80732584553255937</v>
      </c>
      <c r="E303" s="6">
        <v>0.79728804273387199</v>
      </c>
      <c r="F303" s="6">
        <f t="shared" si="4"/>
        <v>0.67311707956648292</v>
      </c>
      <c r="G303" s="3">
        <v>17168.41</v>
      </c>
      <c r="H303" s="3">
        <v>11556.35</v>
      </c>
      <c r="I303" s="3">
        <v>6777.9850000000006</v>
      </c>
      <c r="J303" s="10">
        <v>4385.1499999999996</v>
      </c>
      <c r="K303" s="11">
        <v>117.64</v>
      </c>
      <c r="L303" s="11">
        <v>3.0228999999999999</v>
      </c>
      <c r="M303" s="10">
        <v>224.7775804959638</v>
      </c>
      <c r="N303" s="10">
        <v>781.05996859307345</v>
      </c>
      <c r="O303" s="14">
        <v>-0.4</v>
      </c>
      <c r="P303" s="10">
        <v>750.56248877419364</v>
      </c>
    </row>
    <row r="304" spans="1:16" ht="18">
      <c r="A304" s="2">
        <v>45658</v>
      </c>
      <c r="B304" s="3">
        <v>5073</v>
      </c>
      <c r="C304" s="3">
        <v>1534</v>
      </c>
      <c r="D304" s="6">
        <v>0.72389999999999999</v>
      </c>
      <c r="E304" s="6">
        <v>0.80910000000000004</v>
      </c>
      <c r="F304" s="6">
        <f t="shared" si="4"/>
        <v>0.65745206309265858</v>
      </c>
      <c r="G304" s="3">
        <v>17168.400000000001</v>
      </c>
      <c r="H304" s="3">
        <v>11287.4</v>
      </c>
      <c r="I304" s="3">
        <v>6724.4308000000001</v>
      </c>
      <c r="J304" s="10">
        <v>4300.3100000000004</v>
      </c>
      <c r="K304" s="11">
        <v>110.94</v>
      </c>
      <c r="L304" s="11">
        <v>4.0991</v>
      </c>
      <c r="M304" s="10">
        <v>281.64896063289774</v>
      </c>
      <c r="N304" s="10">
        <v>770.32878649422958</v>
      </c>
      <c r="O304" s="14">
        <v>-0.4</v>
      </c>
      <c r="P304" s="10">
        <v>524.79722416129039</v>
      </c>
    </row>
    <row r="305" spans="1:16" ht="18">
      <c r="A305" s="2">
        <v>45689</v>
      </c>
      <c r="B305" s="3">
        <v>4855</v>
      </c>
      <c r="C305" s="3">
        <v>1139</v>
      </c>
      <c r="D305" s="6">
        <v>0.76329999999999998</v>
      </c>
      <c r="E305" s="6">
        <v>0.74929999999999997</v>
      </c>
      <c r="F305" s="6">
        <f t="shared" si="4"/>
        <v>0.56818909370289095</v>
      </c>
      <c r="G305" s="3">
        <v>17180.900000000001</v>
      </c>
      <c r="H305" s="3">
        <v>9762</v>
      </c>
      <c r="I305" s="3">
        <v>6258.6331</v>
      </c>
      <c r="J305" s="10">
        <v>4131.95</v>
      </c>
      <c r="K305" s="11">
        <v>103.67</v>
      </c>
      <c r="L305" s="11">
        <v>4.2225999999999999</v>
      </c>
      <c r="M305" s="10">
        <v>285.22670354414214</v>
      </c>
      <c r="N305" s="10">
        <v>833.30876870642464</v>
      </c>
      <c r="O305" s="14">
        <v>-0.2</v>
      </c>
      <c r="P305" s="10">
        <v>435.38264296428571</v>
      </c>
    </row>
    <row r="306" spans="1:16" ht="18">
      <c r="A306" s="2">
        <v>45717</v>
      </c>
      <c r="B306" s="3">
        <v>5703</v>
      </c>
      <c r="C306" s="3">
        <v>811</v>
      </c>
      <c r="D306" s="6">
        <v>0.76919999999999999</v>
      </c>
      <c r="E306" s="6">
        <v>0.83169999999999999</v>
      </c>
      <c r="F306" s="6">
        <f>H306/G306</f>
        <v>0.5158580081341021</v>
      </c>
      <c r="G306" s="3">
        <v>17186.900000000001</v>
      </c>
      <c r="H306" s="3">
        <v>8866</v>
      </c>
      <c r="I306" s="3">
        <v>6901.7943688199994</v>
      </c>
      <c r="J306" s="10">
        <v>4133.4799999999996</v>
      </c>
      <c r="K306" s="11">
        <v>100.97999999999999</v>
      </c>
      <c r="L306" s="11">
        <v>4.1280999999999999</v>
      </c>
      <c r="M306" s="10">
        <v>296.38915493490066</v>
      </c>
      <c r="N306" s="10">
        <v>876.19569331508251</v>
      </c>
      <c r="O306" s="14">
        <v>-0.1</v>
      </c>
      <c r="P306" s="10">
        <v>235.20002587096775</v>
      </c>
    </row>
    <row r="307" spans="1:16" ht="18">
      <c r="A307" s="2">
        <v>45748</v>
      </c>
      <c r="B307" s="4">
        <v>5600.8295000000007</v>
      </c>
      <c r="C307" s="3">
        <v>747.25</v>
      </c>
      <c r="D307" s="7">
        <v>0.82020000000000004</v>
      </c>
      <c r="E307" s="7">
        <v>0.75780000000000003</v>
      </c>
      <c r="F307" s="6">
        <f t="shared" si="4"/>
        <v>0.53642187581824852</v>
      </c>
      <c r="G307" s="3">
        <v>17186.099999999999</v>
      </c>
      <c r="H307" s="3">
        <v>9219</v>
      </c>
      <c r="I307" s="3">
        <v>6627.9518875299991</v>
      </c>
      <c r="J307" s="10">
        <v>4273.88</v>
      </c>
      <c r="K307" s="11">
        <v>106.4</v>
      </c>
      <c r="L307" s="11">
        <v>3.3997999999999999</v>
      </c>
      <c r="M307" s="10">
        <v>295.41651559881728</v>
      </c>
      <c r="N307" s="10">
        <v>873.03885521917823</v>
      </c>
      <c r="O307" s="14">
        <v>0</v>
      </c>
      <c r="P307" s="10">
        <v>143.44193963333333</v>
      </c>
    </row>
    <row r="308" spans="1:16" ht="18">
      <c r="A308" s="2">
        <v>45779</v>
      </c>
      <c r="B308" s="4">
        <v>6005.4941999999992</v>
      </c>
      <c r="C308" s="3">
        <v>702.62</v>
      </c>
      <c r="D308" s="6">
        <v>0.77500000000000002</v>
      </c>
      <c r="E308" s="6">
        <v>0.77070000000000005</v>
      </c>
      <c r="F308" s="6">
        <f t="shared" si="4"/>
        <v>0.67522451996670774</v>
      </c>
      <c r="G308" s="3">
        <v>17181.099999999999</v>
      </c>
      <c r="H308" s="3">
        <v>11601.1</v>
      </c>
      <c r="I308" s="3">
        <v>6967.7707726500012</v>
      </c>
      <c r="J308" s="10">
        <v>4202.3</v>
      </c>
      <c r="K308" s="11">
        <v>107.5</v>
      </c>
      <c r="L308" s="11">
        <v>3.1152000000000002</v>
      </c>
      <c r="M308" s="10">
        <v>292.32978094900074</v>
      </c>
      <c r="N308" s="10">
        <v>802.78741921581593</v>
      </c>
      <c r="O308" s="14">
        <v>0</v>
      </c>
      <c r="P308" s="10">
        <v>129.11089561290322</v>
      </c>
    </row>
    <row r="309" spans="1:16" ht="18">
      <c r="A309" s="2">
        <v>45810</v>
      </c>
      <c r="B309" s="4">
        <v>5648.2974000000004</v>
      </c>
      <c r="C309" s="3">
        <v>751.1</v>
      </c>
      <c r="D309" s="6">
        <v>0.76970000000000005</v>
      </c>
      <c r="E309" s="6">
        <v>0.64890000000000003</v>
      </c>
      <c r="F309" s="6">
        <f t="shared" si="4"/>
        <v>0.78639900821251274</v>
      </c>
      <c r="G309" s="3">
        <v>17181.099999999999</v>
      </c>
      <c r="H309" s="3">
        <v>13511.2</v>
      </c>
      <c r="I309" s="3">
        <v>6691.4175823299993</v>
      </c>
      <c r="J309" s="10">
        <v>4115.88</v>
      </c>
      <c r="K309" s="11">
        <v>109.9</v>
      </c>
      <c r="L309" s="11">
        <v>3.0219999999999998</v>
      </c>
      <c r="M309" s="10">
        <v>303.13024823376037</v>
      </c>
      <c r="N309" s="10">
        <v>826.8733480683851</v>
      </c>
      <c r="O309" s="14">
        <v>0</v>
      </c>
      <c r="P309" s="10">
        <v>113.16950306666666</v>
      </c>
    </row>
    <row r="310" spans="1:16" ht="18">
      <c r="A310" s="2">
        <v>45841</v>
      </c>
      <c r="B310" s="4">
        <v>6060.7692999999999</v>
      </c>
      <c r="C310" s="3">
        <v>760.26</v>
      </c>
      <c r="D310" s="6">
        <v>0.76749999999999996</v>
      </c>
      <c r="E310" s="6">
        <v>0.71730000000000005</v>
      </c>
      <c r="F310" s="6">
        <f t="shared" si="4"/>
        <v>0.82306578174351575</v>
      </c>
      <c r="G310" s="3">
        <v>17191.7</v>
      </c>
      <c r="H310" s="3">
        <v>14149.9</v>
      </c>
      <c r="I310" s="3">
        <v>7151.8841963800014</v>
      </c>
      <c r="J310" s="10">
        <v>4047.29</v>
      </c>
      <c r="K310" s="11">
        <v>115.15</v>
      </c>
      <c r="L310" s="11">
        <v>3.1922000000000001</v>
      </c>
      <c r="M310" s="10">
        <v>290.80364800924622</v>
      </c>
      <c r="N310" s="10">
        <v>790.61312004503247</v>
      </c>
      <c r="O310" s="14">
        <v>-0.1</v>
      </c>
      <c r="P310" s="10">
        <v>137.88115235483872</v>
      </c>
    </row>
    <row r="311" spans="1:16" ht="18">
      <c r="A311" s="2">
        <v>45872</v>
      </c>
      <c r="B311" s="4">
        <v>5875.3075999999946</v>
      </c>
      <c r="C311" s="3">
        <v>873.99</v>
      </c>
      <c r="D311" s="6">
        <v>0.69210000000000005</v>
      </c>
      <c r="E311" s="6">
        <v>0.72209999999999996</v>
      </c>
      <c r="F311" s="6">
        <f t="shared" si="4"/>
        <v>0.82517975962071155</v>
      </c>
      <c r="G311" s="3">
        <v>17147.900000000001</v>
      </c>
      <c r="H311" s="3">
        <v>14150.1</v>
      </c>
      <c r="I311" s="3">
        <v>7055.8400637699997</v>
      </c>
      <c r="J311" s="10">
        <v>4051.59</v>
      </c>
      <c r="K311" s="11">
        <v>109.6</v>
      </c>
      <c r="L311" s="11">
        <v>2.9104999999999999</v>
      </c>
      <c r="M311" s="10">
        <v>284.14064782791013</v>
      </c>
      <c r="N311" s="10">
        <v>799.8890383668429</v>
      </c>
      <c r="O311" s="14">
        <v>-0.3</v>
      </c>
      <c r="P311" s="10">
        <v>247.72941183870964</v>
      </c>
    </row>
    <row r="312" spans="1:16" ht="18">
      <c r="A312" s="2">
        <v>45903</v>
      </c>
      <c r="B312" s="4">
        <v>5648.890900000004</v>
      </c>
      <c r="C312" s="3">
        <v>974.1</v>
      </c>
      <c r="D312" s="6">
        <v>0.7339</v>
      </c>
      <c r="E312" s="6">
        <v>0.69199999999999995</v>
      </c>
      <c r="F312" s="6">
        <f t="shared" si="4"/>
        <v>0.82890228741193839</v>
      </c>
      <c r="G312" s="3">
        <v>17132.900000000001</v>
      </c>
      <c r="H312" s="3">
        <v>14201.5</v>
      </c>
      <c r="I312" s="3">
        <v>6946.3435789199993</v>
      </c>
      <c r="J312" s="10">
        <v>3924.24</v>
      </c>
      <c r="K312" s="11">
        <v>106.2</v>
      </c>
      <c r="L312" s="11">
        <v>2.9733000000000001</v>
      </c>
      <c r="M312" s="10">
        <v>272.61165875289703</v>
      </c>
      <c r="N312" s="10">
        <v>768.27097541834269</v>
      </c>
      <c r="O312" s="14">
        <v>-0.4</v>
      </c>
      <c r="P312" s="10">
        <v>304.00316639999994</v>
      </c>
    </row>
    <row r="313" spans="1:16" ht="18">
      <c r="A313" s="2">
        <v>45934</v>
      </c>
      <c r="B313" s="4">
        <v>6019.7604000000038</v>
      </c>
      <c r="C313" s="3">
        <v>717.98</v>
      </c>
      <c r="D313" s="6">
        <v>0.81399999999999995</v>
      </c>
      <c r="E313" s="6">
        <v>0.7319</v>
      </c>
      <c r="F313" s="6">
        <f t="shared" si="4"/>
        <v>0.82478175819684096</v>
      </c>
      <c r="G313" s="3">
        <v>17125.5</v>
      </c>
      <c r="H313" s="3">
        <v>14124.8</v>
      </c>
      <c r="I313" s="3">
        <v>7042.6301577200011</v>
      </c>
      <c r="J313" s="10">
        <v>3881.44</v>
      </c>
      <c r="K313" s="11">
        <v>109.25</v>
      </c>
      <c r="L313" s="11">
        <v>3.1972999999999998</v>
      </c>
      <c r="M313" s="10">
        <v>261.69146305310511</v>
      </c>
      <c r="N313" s="10">
        <v>765.84714787908911</v>
      </c>
      <c r="O313" s="14">
        <v>-0.5</v>
      </c>
      <c r="P313" s="10">
        <v>175.55018145161299</v>
      </c>
    </row>
    <row r="314" spans="1:16" ht="18">
      <c r="A314" s="2">
        <v>45965</v>
      </c>
      <c r="B314" s="4">
        <v>5721.4698999999991</v>
      </c>
      <c r="C314" s="3">
        <v>812.61</v>
      </c>
      <c r="D314" s="6">
        <v>0.77049999999999996</v>
      </c>
      <c r="E314" s="6">
        <v>0.7591</v>
      </c>
      <c r="F314" s="6">
        <f t="shared" si="4"/>
        <v>0.84386660515851009</v>
      </c>
      <c r="G314" s="3">
        <v>17125.099999999999</v>
      </c>
      <c r="H314" s="3">
        <v>14451.3</v>
      </c>
      <c r="I314" s="3">
        <v>6897.0309065600013</v>
      </c>
      <c r="J314" s="10">
        <v>3780.34</v>
      </c>
      <c r="K314" s="11">
        <v>110.4</v>
      </c>
      <c r="L314" s="11">
        <v>3.7911999999999999</v>
      </c>
      <c r="M314" s="10">
        <v>285.50215270968562</v>
      </c>
      <c r="N314" s="10">
        <v>804.29010742928267</v>
      </c>
      <c r="O314" s="14">
        <v>-0.6</v>
      </c>
      <c r="P314" s="10">
        <v>232.69611266666669</v>
      </c>
    </row>
    <row r="315" spans="1:16" ht="18">
      <c r="A315" s="2">
        <v>45996</v>
      </c>
      <c r="B315" s="4">
        <v>5888.6115000000054</v>
      </c>
      <c r="C315" s="3">
        <v>906.23</v>
      </c>
      <c r="D315" s="6">
        <v>0.82840000000000003</v>
      </c>
      <c r="E315" s="6">
        <v>0.84809999999999997</v>
      </c>
      <c r="F315" s="6">
        <f t="shared" si="4"/>
        <v>0.83504995974807039</v>
      </c>
      <c r="G315" s="3">
        <v>16893.599999999999</v>
      </c>
      <c r="H315" s="3">
        <v>14107</v>
      </c>
      <c r="I315" s="3">
        <v>7019.6596315799998</v>
      </c>
      <c r="J315" s="10">
        <v>3794.93</v>
      </c>
      <c r="K315" s="11">
        <v>107.5</v>
      </c>
      <c r="L315" s="11">
        <v>4.2514000000000003</v>
      </c>
      <c r="M315" s="10">
        <v>273.71570990995576</v>
      </c>
      <c r="N315" s="10">
        <v>749.372533367816</v>
      </c>
      <c r="O315" s="14">
        <v>-0.5</v>
      </c>
      <c r="P315" s="10">
        <v>281.76530687096778</v>
      </c>
    </row>
  </sheetData>
  <mergeCells count="11">
    <mergeCell ref="B2:C2"/>
    <mergeCell ref="B1:C1"/>
    <mergeCell ref="D2:E2"/>
    <mergeCell ref="D1:E1"/>
    <mergeCell ref="F2:H2"/>
    <mergeCell ref="F1:H1"/>
    <mergeCell ref="K2:L2"/>
    <mergeCell ref="K1:L1"/>
    <mergeCell ref="M1:N1"/>
    <mergeCell ref="M2:N2"/>
    <mergeCell ref="P2:Q2"/>
  </mergeCells>
  <hyperlinks>
    <hyperlink ref="B2" r:id="rId1" xr:uid="{829E42F4-ED86-4FD7-B613-0E7B9D63DC2B}"/>
    <hyperlink ref="F2:H2" r:id="rId2" display="https://sinergox.xm.com.co/hdrlg/Paginas/Informes/ReservasHidricasSIN.aspx " xr:uid="{28E38586-894C-41A0-9CA1-6E3C3A2479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 Mejia</cp:lastModifiedBy>
  <cp:revision/>
  <dcterms:created xsi:type="dcterms:W3CDTF">2026-05-22T22:01:40Z</dcterms:created>
  <dcterms:modified xsi:type="dcterms:W3CDTF">2026-05-23T01:39:36Z</dcterms:modified>
  <cp:category/>
  <cp:contentStatus/>
</cp:coreProperties>
</file>